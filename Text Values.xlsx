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\Documents\Hill House - 304 Choestoe Ln\Barometer sensor\"/>
    </mc:Choice>
  </mc:AlternateContent>
  <bookViews>
    <workbookView xWindow="0" yWindow="0" windowWidth="19200" windowHeight="9900" tabRatio="3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4" i="1"/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4" i="1"/>
  <c r="L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4" i="1"/>
  <c r="K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4" i="1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4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C5" i="1"/>
  <c r="D5" i="1"/>
</calcChain>
</file>

<file path=xl/sharedStrings.xml><?xml version="1.0" encoding="utf-8"?>
<sst xmlns="http://schemas.openxmlformats.org/spreadsheetml/2006/main" count="8" uniqueCount="8">
  <si>
    <t>DT</t>
  </si>
  <si>
    <t>WasOff</t>
  </si>
  <si>
    <t>Ignore WasOff==1 in row 0</t>
  </si>
  <si>
    <t>DT,WasOff</t>
  </si>
  <si>
    <t>Temperature</t>
  </si>
  <si>
    <t>Humidity</t>
  </si>
  <si>
    <t>Baro</t>
  </si>
  <si>
    <t>Used to generate test data for SensorPage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</si>
</sst>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171"/>
  <sheetViews>
    <sheetView tabSelected="1" topLeftCell="E1" workbookViewId="0">
      <selection activeCell="F1" sqref="F1"/>
    </sheetView>
  </sheetViews>
  <sheetFormatPr defaultRowHeight="14.5" x14ac:dyDescent="0.35"/>
  <cols>
    <col min="4" max="4" width="20.08984375" customWidth="1"/>
    <col min="5" max="7" width="20.81640625" style="2" customWidth="1"/>
    <col min="8" max="8" width="15.1796875" style="2" bestFit="1" customWidth="1"/>
    <col min="10" max="10" width="18.7265625" customWidth="1"/>
    <col min="11" max="11" width="30.1796875" customWidth="1"/>
    <col min="12" max="12" width="28.90625" customWidth="1"/>
  </cols>
  <sheetData>
    <row r="1" spans="3:13" x14ac:dyDescent="0.35">
      <c r="F1" s="5" t="s">
        <v>7</v>
      </c>
    </row>
    <row r="3" spans="3:13" x14ac:dyDescent="0.35">
      <c r="D3" s="2" t="s">
        <v>0</v>
      </c>
      <c r="E3" s="2" t="s">
        <v>4</v>
      </c>
      <c r="F3" s="2" t="s">
        <v>5</v>
      </c>
      <c r="G3" s="2" t="s">
        <v>6</v>
      </c>
      <c r="H3" s="2" t="s">
        <v>1</v>
      </c>
      <c r="J3" s="2" t="s">
        <v>3</v>
      </c>
      <c r="K3" t="str">
        <f>TEXT(D3,"yyyy-mm-dd hh:mm") &amp; "," &amp; E3 &amp; "," &amp; F3 &amp; "," &amp; H3</f>
        <v>DT,Temperature,Humidity,WasOff</v>
      </c>
      <c r="L3" t="str">
        <f>TEXT(D3,"yyyy-mm-dd hh:mm") &amp; "," &amp; E3 &amp; "," &amp; G3 &amp; "," &amp; H3</f>
        <v>DT,Temperature,Baro,WasOff</v>
      </c>
    </row>
    <row r="4" spans="3:13" x14ac:dyDescent="0.35">
      <c r="C4">
        <v>1</v>
      </c>
      <c r="D4" s="1">
        <v>41392.041666666664</v>
      </c>
      <c r="E4" s="3">
        <f>40+10*SIN(RADIANS(360*HOUR(D4)/24))</f>
        <v>42.588190451025206</v>
      </c>
      <c r="F4" s="3">
        <f>50+40*SIN(RADIANS(360*HOUR(D4)/24))</f>
        <v>60.35276180410083</v>
      </c>
      <c r="G4" s="4">
        <f>29.5+3*SIN(RADIANS(360*HOUR(D4)/24))</f>
        <v>30.276457135307563</v>
      </c>
      <c r="H4" s="2">
        <v>1</v>
      </c>
      <c r="J4" t="str">
        <f>TEXT(D4,"yyyy-mm-dd hh:mm")  &amp; "," &amp; H4</f>
        <v>2013-04-28 01:00,1</v>
      </c>
      <c r="K4" t="str">
        <f>TEXT(D4,"yyyy-mm-dd hh:mm") &amp; "," &amp; TEXT(E4,"##") &amp;  "," &amp; TEXT(F4,"##") &amp; "," &amp; H4</f>
        <v>2013-04-28 01:00,43,60,1</v>
      </c>
      <c r="L4" t="str">
        <f>TEXT(D4,"yyyy-mm-dd hh:mm") &amp; "," &amp; TEXT(E4,"##") &amp;  "," &amp; TEXT(G4,"##.##") &amp; "," &amp; H4</f>
        <v>2013-04-28 01:00,43,30.28,1</v>
      </c>
      <c r="M4" t="s">
        <v>2</v>
      </c>
    </row>
    <row r="5" spans="3:13" x14ac:dyDescent="0.35">
      <c r="C5">
        <f>C4+1</f>
        <v>2</v>
      </c>
      <c r="D5" s="1">
        <f>D4+TIME(1,0,0)</f>
        <v>41392.083333333328</v>
      </c>
      <c r="E5" s="3">
        <f t="shared" ref="E5:E68" si="0">40+10*SIN(RADIANS(360*HOUR(D5)/24))</f>
        <v>45</v>
      </c>
      <c r="F5" s="3">
        <f t="shared" ref="F5:F68" si="1">50+40*SIN(RADIANS(360*HOUR(D5)/24))</f>
        <v>70</v>
      </c>
      <c r="G5" s="4">
        <f t="shared" ref="G5:G68" si="2">29.5+3*SIN(RADIANS(360*HOUR(D5)/24))</f>
        <v>31</v>
      </c>
      <c r="H5" s="2">
        <v>0</v>
      </c>
      <c r="J5" t="str">
        <f t="shared" ref="J5:J68" si="3">TEXT(D5,"yyyy-mm-dd hh:mm")  &amp; "," &amp; H5</f>
        <v>2013-04-28 02:00,0</v>
      </c>
      <c r="K5" t="str">
        <f t="shared" ref="K5:K68" si="4">TEXT(D5,"yyyy-mm-dd hh:mm") &amp; "," &amp; TEXT(E5,"##") &amp;  "," &amp; TEXT(F5,"##") &amp; "," &amp; H5</f>
        <v>2013-04-28 02:00,45,70,0</v>
      </c>
      <c r="L5" t="str">
        <f t="shared" ref="L5:L68" si="5">TEXT(D5,"yyyy-mm-dd hh:mm") &amp; "," &amp; TEXT(E5,"##") &amp;  "," &amp; TEXT(G5,"##.##") &amp; "," &amp; H5</f>
        <v>2013-04-28 02:00,45,31.,0</v>
      </c>
    </row>
    <row r="6" spans="3:13" x14ac:dyDescent="0.35">
      <c r="C6">
        <f t="shared" ref="C6:C69" si="6">C5+1</f>
        <v>3</v>
      </c>
      <c r="D6" s="1">
        <f t="shared" ref="D6:D69" si="7">D5+TIME(1,0,0)</f>
        <v>41392.124999999993</v>
      </c>
      <c r="E6" s="3">
        <f t="shared" si="0"/>
        <v>47.071067811865476</v>
      </c>
      <c r="F6" s="3">
        <f t="shared" si="1"/>
        <v>78.284271247461902</v>
      </c>
      <c r="G6" s="4">
        <f t="shared" si="2"/>
        <v>31.621320343559642</v>
      </c>
      <c r="H6" s="2">
        <v>0</v>
      </c>
      <c r="J6" t="str">
        <f t="shared" si="3"/>
        <v>2013-04-28 03:00,0</v>
      </c>
      <c r="K6" t="str">
        <f t="shared" si="4"/>
        <v>2013-04-28 03:00,47,78,0</v>
      </c>
      <c r="L6" t="str">
        <f t="shared" si="5"/>
        <v>2013-04-28 03:00,47,31.62,0</v>
      </c>
    </row>
    <row r="7" spans="3:13" x14ac:dyDescent="0.35">
      <c r="C7">
        <f t="shared" si="6"/>
        <v>4</v>
      </c>
      <c r="D7" s="1">
        <f t="shared" si="7"/>
        <v>41392.166666666657</v>
      </c>
      <c r="E7" s="3">
        <f t="shared" si="0"/>
        <v>48.660254037844382</v>
      </c>
      <c r="F7" s="3">
        <f t="shared" si="1"/>
        <v>84.641016151377542</v>
      </c>
      <c r="G7" s="4">
        <f t="shared" si="2"/>
        <v>32.098076211353316</v>
      </c>
      <c r="H7" s="2">
        <v>0</v>
      </c>
      <c r="J7" t="str">
        <f t="shared" si="3"/>
        <v>2013-04-28 04:00,0</v>
      </c>
      <c r="K7" t="str">
        <f t="shared" si="4"/>
        <v>2013-04-28 04:00,49,85,0</v>
      </c>
      <c r="L7" t="str">
        <f t="shared" si="5"/>
        <v>2013-04-28 04:00,49,32.1,0</v>
      </c>
    </row>
    <row r="8" spans="3:13" x14ac:dyDescent="0.35">
      <c r="C8">
        <f t="shared" si="6"/>
        <v>5</v>
      </c>
      <c r="D8" s="1">
        <f t="shared" si="7"/>
        <v>41392.208333333321</v>
      </c>
      <c r="E8" s="3">
        <f t="shared" si="0"/>
        <v>49.659258262890681</v>
      </c>
      <c r="F8" s="3">
        <f t="shared" si="1"/>
        <v>88.637033051562724</v>
      </c>
      <c r="G8" s="4">
        <f t="shared" si="2"/>
        <v>32.397777478867205</v>
      </c>
      <c r="H8" s="2">
        <v>0</v>
      </c>
      <c r="J8" t="str">
        <f t="shared" si="3"/>
        <v>2013-04-28 05:00,0</v>
      </c>
      <c r="K8" t="str">
        <f t="shared" si="4"/>
        <v>2013-04-28 05:00,50,89,0</v>
      </c>
      <c r="L8" t="str">
        <f t="shared" si="5"/>
        <v>2013-04-28 05:00,50,32.4,0</v>
      </c>
    </row>
    <row r="9" spans="3:13" x14ac:dyDescent="0.35">
      <c r="C9">
        <f t="shared" si="6"/>
        <v>6</v>
      </c>
      <c r="D9" s="1">
        <f t="shared" si="7"/>
        <v>41392.249999999985</v>
      </c>
      <c r="E9" s="3">
        <f t="shared" si="0"/>
        <v>50</v>
      </c>
      <c r="F9" s="3">
        <f t="shared" si="1"/>
        <v>90</v>
      </c>
      <c r="G9" s="4">
        <f t="shared" si="2"/>
        <v>32.5</v>
      </c>
      <c r="H9" s="2">
        <v>0</v>
      </c>
      <c r="J9" t="str">
        <f t="shared" si="3"/>
        <v>2013-04-28 06:00,0</v>
      </c>
      <c r="K9" t="str">
        <f t="shared" si="4"/>
        <v>2013-04-28 06:00,50,90,0</v>
      </c>
      <c r="L9" t="str">
        <f t="shared" si="5"/>
        <v>2013-04-28 06:00,50,32.5,0</v>
      </c>
    </row>
    <row r="10" spans="3:13" x14ac:dyDescent="0.35">
      <c r="C10">
        <f t="shared" si="6"/>
        <v>7</v>
      </c>
      <c r="D10" s="1">
        <f t="shared" si="7"/>
        <v>41392.29166666665</v>
      </c>
      <c r="E10" s="3">
        <f t="shared" si="0"/>
        <v>49.659258262890681</v>
      </c>
      <c r="F10" s="3">
        <f t="shared" si="1"/>
        <v>88.637033051562724</v>
      </c>
      <c r="G10" s="4">
        <f t="shared" si="2"/>
        <v>32.397777478867205</v>
      </c>
      <c r="H10" s="2">
        <v>0</v>
      </c>
      <c r="J10" t="str">
        <f t="shared" si="3"/>
        <v>2013-04-28 07:00,0</v>
      </c>
      <c r="K10" t="str">
        <f t="shared" si="4"/>
        <v>2013-04-28 07:00,50,89,0</v>
      </c>
      <c r="L10" t="str">
        <f t="shared" si="5"/>
        <v>2013-04-28 07:00,50,32.4,0</v>
      </c>
    </row>
    <row r="11" spans="3:13" x14ac:dyDescent="0.35">
      <c r="C11">
        <f t="shared" si="6"/>
        <v>8</v>
      </c>
      <c r="D11" s="1">
        <f t="shared" si="7"/>
        <v>41392.333333333314</v>
      </c>
      <c r="E11" s="3">
        <f t="shared" si="0"/>
        <v>48.660254037844389</v>
      </c>
      <c r="F11" s="3">
        <f t="shared" si="1"/>
        <v>84.641016151377556</v>
      </c>
      <c r="G11" s="4">
        <f t="shared" si="2"/>
        <v>32.098076211353316</v>
      </c>
      <c r="H11" s="2">
        <v>0</v>
      </c>
      <c r="J11" t="str">
        <f t="shared" si="3"/>
        <v>2013-04-28 08:00,0</v>
      </c>
      <c r="K11" t="str">
        <f t="shared" si="4"/>
        <v>2013-04-28 08:00,49,85,0</v>
      </c>
      <c r="L11" t="str">
        <f t="shared" si="5"/>
        <v>2013-04-28 08:00,49,32.1,0</v>
      </c>
    </row>
    <row r="12" spans="3:13" x14ac:dyDescent="0.35">
      <c r="C12">
        <f t="shared" si="6"/>
        <v>9</v>
      </c>
      <c r="D12" s="1">
        <f t="shared" si="7"/>
        <v>41392.374999999978</v>
      </c>
      <c r="E12" s="3">
        <f t="shared" si="0"/>
        <v>47.071067811865476</v>
      </c>
      <c r="F12" s="3">
        <f t="shared" si="1"/>
        <v>78.284271247461902</v>
      </c>
      <c r="G12" s="4">
        <f t="shared" si="2"/>
        <v>31.621320343559642</v>
      </c>
      <c r="H12" s="2">
        <v>0</v>
      </c>
      <c r="J12" t="str">
        <f t="shared" si="3"/>
        <v>2013-04-28 09:00,0</v>
      </c>
      <c r="K12" t="str">
        <f t="shared" si="4"/>
        <v>2013-04-28 09:00,47,78,0</v>
      </c>
      <c r="L12" t="str">
        <f t="shared" si="5"/>
        <v>2013-04-28 09:00,47,31.62,0</v>
      </c>
    </row>
    <row r="13" spans="3:13" x14ac:dyDescent="0.35">
      <c r="C13">
        <f t="shared" si="6"/>
        <v>10</v>
      </c>
      <c r="D13" s="1">
        <f t="shared" si="7"/>
        <v>41392.416666666642</v>
      </c>
      <c r="E13" s="3">
        <f t="shared" si="0"/>
        <v>45</v>
      </c>
      <c r="F13" s="3">
        <f t="shared" si="1"/>
        <v>70</v>
      </c>
      <c r="G13" s="4">
        <f t="shared" si="2"/>
        <v>31</v>
      </c>
      <c r="H13" s="2">
        <v>0</v>
      </c>
      <c r="J13" t="str">
        <f t="shared" si="3"/>
        <v>2013-04-28 10:00,0</v>
      </c>
      <c r="K13" t="str">
        <f t="shared" si="4"/>
        <v>2013-04-28 10:00,45,70,0</v>
      </c>
      <c r="L13" t="str">
        <f t="shared" si="5"/>
        <v>2013-04-28 10:00,45,31.,0</v>
      </c>
    </row>
    <row r="14" spans="3:13" x14ac:dyDescent="0.35">
      <c r="C14">
        <f t="shared" si="6"/>
        <v>11</v>
      </c>
      <c r="D14" s="1">
        <f t="shared" si="7"/>
        <v>41392.458333333307</v>
      </c>
      <c r="E14" s="3">
        <f t="shared" si="0"/>
        <v>42.588190451025213</v>
      </c>
      <c r="F14" s="3">
        <f t="shared" si="1"/>
        <v>60.352761804100837</v>
      </c>
      <c r="G14" s="4">
        <f t="shared" si="2"/>
        <v>30.276457135307563</v>
      </c>
      <c r="H14" s="2">
        <v>0</v>
      </c>
      <c r="J14" t="str">
        <f t="shared" si="3"/>
        <v>2013-04-28 11:00,0</v>
      </c>
      <c r="K14" t="str">
        <f t="shared" si="4"/>
        <v>2013-04-28 11:00,43,60,0</v>
      </c>
      <c r="L14" t="str">
        <f t="shared" si="5"/>
        <v>2013-04-28 11:00,43,30.28,0</v>
      </c>
    </row>
    <row r="15" spans="3:13" x14ac:dyDescent="0.35">
      <c r="C15">
        <f t="shared" si="6"/>
        <v>12</v>
      </c>
      <c r="D15" s="1">
        <f t="shared" si="7"/>
        <v>41392.499999999971</v>
      </c>
      <c r="E15" s="3">
        <f t="shared" si="0"/>
        <v>40</v>
      </c>
      <c r="F15" s="3">
        <f t="shared" si="1"/>
        <v>50.000000000000007</v>
      </c>
      <c r="G15" s="4">
        <f t="shared" si="2"/>
        <v>29.5</v>
      </c>
      <c r="H15" s="2">
        <v>0</v>
      </c>
      <c r="J15" t="str">
        <f t="shared" si="3"/>
        <v>2013-04-28 12:00,0</v>
      </c>
      <c r="K15" t="str">
        <f t="shared" si="4"/>
        <v>2013-04-28 12:00,40,50,0</v>
      </c>
      <c r="L15" t="str">
        <f t="shared" si="5"/>
        <v>2013-04-28 12:00,40,29.5,0</v>
      </c>
    </row>
    <row r="16" spans="3:13" x14ac:dyDescent="0.35">
      <c r="C16">
        <f t="shared" si="6"/>
        <v>13</v>
      </c>
      <c r="D16" s="1">
        <f t="shared" si="7"/>
        <v>41392.541666666635</v>
      </c>
      <c r="E16" s="3">
        <f t="shared" si="0"/>
        <v>37.411809548974794</v>
      </c>
      <c r="F16" s="3">
        <f t="shared" si="1"/>
        <v>39.64723819589917</v>
      </c>
      <c r="G16" s="4">
        <f t="shared" si="2"/>
        <v>28.723542864692437</v>
      </c>
      <c r="H16" s="2">
        <v>0</v>
      </c>
      <c r="J16" t="str">
        <f t="shared" si="3"/>
        <v>2013-04-28 13:00,0</v>
      </c>
      <c r="K16" t="str">
        <f t="shared" si="4"/>
        <v>2013-04-28 13:00,37,40,0</v>
      </c>
      <c r="L16" t="str">
        <f t="shared" si="5"/>
        <v>2013-04-28 13:00,37,28.72,0</v>
      </c>
    </row>
    <row r="17" spans="3:12" x14ac:dyDescent="0.35">
      <c r="C17">
        <f t="shared" si="6"/>
        <v>14</v>
      </c>
      <c r="D17" s="1">
        <f t="shared" si="7"/>
        <v>41392.583333333299</v>
      </c>
      <c r="E17" s="3">
        <f t="shared" si="0"/>
        <v>35</v>
      </c>
      <c r="F17" s="3">
        <f t="shared" si="1"/>
        <v>29.999999999999996</v>
      </c>
      <c r="G17" s="4">
        <f t="shared" si="2"/>
        <v>28</v>
      </c>
      <c r="H17" s="2">
        <v>0</v>
      </c>
      <c r="J17" t="str">
        <f t="shared" si="3"/>
        <v>2013-04-28 14:00,0</v>
      </c>
      <c r="K17" t="str">
        <f t="shared" si="4"/>
        <v>2013-04-28 14:00,35,30,0</v>
      </c>
      <c r="L17" t="str">
        <f t="shared" si="5"/>
        <v>2013-04-28 14:00,35,28.,0</v>
      </c>
    </row>
    <row r="18" spans="3:12" x14ac:dyDescent="0.35">
      <c r="C18">
        <f t="shared" si="6"/>
        <v>15</v>
      </c>
      <c r="D18" s="1">
        <f t="shared" si="7"/>
        <v>41392.624999999964</v>
      </c>
      <c r="E18" s="3">
        <f t="shared" si="0"/>
        <v>32.928932188134524</v>
      </c>
      <c r="F18" s="3">
        <f t="shared" si="1"/>
        <v>21.715728752538102</v>
      </c>
      <c r="G18" s="4">
        <f t="shared" si="2"/>
        <v>27.378679656440358</v>
      </c>
      <c r="H18" s="2">
        <v>0</v>
      </c>
      <c r="J18" t="str">
        <f t="shared" si="3"/>
        <v>2013-04-28 15:00,0</v>
      </c>
      <c r="K18" t="str">
        <f t="shared" si="4"/>
        <v>2013-04-28 15:00,33,22,0</v>
      </c>
      <c r="L18" t="str">
        <f t="shared" si="5"/>
        <v>2013-04-28 15:00,33,27.38,0</v>
      </c>
    </row>
    <row r="19" spans="3:12" x14ac:dyDescent="0.35">
      <c r="C19">
        <f t="shared" si="6"/>
        <v>16</v>
      </c>
      <c r="D19" s="1">
        <f t="shared" si="7"/>
        <v>41392.666666666628</v>
      </c>
      <c r="E19" s="3">
        <f t="shared" si="0"/>
        <v>31.339745962155618</v>
      </c>
      <c r="F19" s="3">
        <f t="shared" si="1"/>
        <v>15.358983848622465</v>
      </c>
      <c r="G19" s="4">
        <f t="shared" si="2"/>
        <v>26.901923788646684</v>
      </c>
      <c r="H19" s="2">
        <v>1</v>
      </c>
      <c r="J19" t="str">
        <f t="shared" si="3"/>
        <v>2013-04-28 16:00,1</v>
      </c>
      <c r="K19" t="str">
        <f t="shared" si="4"/>
        <v>2013-04-28 16:00,31,15,1</v>
      </c>
      <c r="L19" t="str">
        <f t="shared" si="5"/>
        <v>2013-04-28 16:00,31,26.9,1</v>
      </c>
    </row>
    <row r="20" spans="3:12" x14ac:dyDescent="0.35">
      <c r="C20">
        <f t="shared" si="6"/>
        <v>17</v>
      </c>
      <c r="D20" s="1">
        <f t="shared" si="7"/>
        <v>41392.708333333292</v>
      </c>
      <c r="E20" s="3">
        <f t="shared" si="0"/>
        <v>30.340741737109319</v>
      </c>
      <c r="F20" s="3">
        <f t="shared" si="1"/>
        <v>11.362966948437268</v>
      </c>
      <c r="G20" s="4">
        <f t="shared" si="2"/>
        <v>26.602222521132795</v>
      </c>
      <c r="H20" s="2">
        <v>0</v>
      </c>
      <c r="J20" t="str">
        <f t="shared" si="3"/>
        <v>2013-04-28 17:00,0</v>
      </c>
      <c r="K20" t="str">
        <f t="shared" si="4"/>
        <v>2013-04-28 17:00,30,11,0</v>
      </c>
      <c r="L20" t="str">
        <f t="shared" si="5"/>
        <v>2013-04-28 17:00,30,26.6,0</v>
      </c>
    </row>
    <row r="21" spans="3:12" x14ac:dyDescent="0.35">
      <c r="C21">
        <f t="shared" si="6"/>
        <v>18</v>
      </c>
      <c r="D21" s="1">
        <f t="shared" si="7"/>
        <v>41392.749999999956</v>
      </c>
      <c r="E21" s="3">
        <f t="shared" si="0"/>
        <v>30</v>
      </c>
      <c r="F21" s="3">
        <f t="shared" si="1"/>
        <v>10</v>
      </c>
      <c r="G21" s="4">
        <f t="shared" si="2"/>
        <v>26.5</v>
      </c>
      <c r="H21" s="2">
        <v>0</v>
      </c>
      <c r="J21" t="str">
        <f t="shared" si="3"/>
        <v>2013-04-28 18:00,0</v>
      </c>
      <c r="K21" t="str">
        <f t="shared" si="4"/>
        <v>2013-04-28 18:00,30,10,0</v>
      </c>
      <c r="L21" t="str">
        <f t="shared" si="5"/>
        <v>2013-04-28 18:00,30,26.5,0</v>
      </c>
    </row>
    <row r="22" spans="3:12" x14ac:dyDescent="0.35">
      <c r="C22">
        <f t="shared" si="6"/>
        <v>19</v>
      </c>
      <c r="D22" s="1">
        <f t="shared" si="7"/>
        <v>41392.791666666621</v>
      </c>
      <c r="E22" s="3">
        <f t="shared" si="0"/>
        <v>30.340741737109315</v>
      </c>
      <c r="F22" s="3">
        <f t="shared" si="1"/>
        <v>11.362966948437261</v>
      </c>
      <c r="G22" s="4">
        <f t="shared" si="2"/>
        <v>26.602222521132795</v>
      </c>
      <c r="H22" s="2">
        <v>0</v>
      </c>
      <c r="J22" t="str">
        <f t="shared" si="3"/>
        <v>2013-04-28 19:00,0</v>
      </c>
      <c r="K22" t="str">
        <f t="shared" si="4"/>
        <v>2013-04-28 19:00,30,11,0</v>
      </c>
      <c r="L22" t="str">
        <f t="shared" si="5"/>
        <v>2013-04-28 19:00,30,26.6,0</v>
      </c>
    </row>
    <row r="23" spans="3:12" x14ac:dyDescent="0.35">
      <c r="C23">
        <f t="shared" si="6"/>
        <v>20</v>
      </c>
      <c r="D23" s="1">
        <f t="shared" si="7"/>
        <v>41392.833333333285</v>
      </c>
      <c r="E23" s="3">
        <f t="shared" si="0"/>
        <v>31.339745962155614</v>
      </c>
      <c r="F23" s="3">
        <f t="shared" si="1"/>
        <v>15.358983848622458</v>
      </c>
      <c r="G23" s="4">
        <f t="shared" si="2"/>
        <v>26.901923788646684</v>
      </c>
      <c r="H23" s="2">
        <v>0</v>
      </c>
      <c r="J23" t="str">
        <f t="shared" si="3"/>
        <v>2013-04-28 20:00,0</v>
      </c>
      <c r="K23" t="str">
        <f t="shared" si="4"/>
        <v>2013-04-28 20:00,31,15,0</v>
      </c>
      <c r="L23" t="str">
        <f t="shared" si="5"/>
        <v>2013-04-28 20:00,31,26.9,0</v>
      </c>
    </row>
    <row r="24" spans="3:12" x14ac:dyDescent="0.35">
      <c r="C24">
        <f t="shared" si="6"/>
        <v>21</v>
      </c>
      <c r="D24" s="1">
        <f t="shared" si="7"/>
        <v>41392.874999999949</v>
      </c>
      <c r="E24" s="3">
        <f t="shared" si="0"/>
        <v>32.928932188134524</v>
      </c>
      <c r="F24" s="3">
        <f t="shared" si="1"/>
        <v>21.715728752538091</v>
      </c>
      <c r="G24" s="4">
        <f t="shared" si="2"/>
        <v>27.378679656440358</v>
      </c>
      <c r="H24" s="2">
        <v>0</v>
      </c>
      <c r="J24" t="str">
        <f t="shared" si="3"/>
        <v>2013-04-28 21:00,0</v>
      </c>
      <c r="K24" t="str">
        <f t="shared" si="4"/>
        <v>2013-04-28 21:00,33,22,0</v>
      </c>
      <c r="L24" t="str">
        <f t="shared" si="5"/>
        <v>2013-04-28 21:00,33,27.38,0</v>
      </c>
    </row>
    <row r="25" spans="3:12" x14ac:dyDescent="0.35">
      <c r="C25">
        <f t="shared" si="6"/>
        <v>22</v>
      </c>
      <c r="D25" s="1">
        <f t="shared" si="7"/>
        <v>41392.916666666613</v>
      </c>
      <c r="E25" s="3">
        <f t="shared" si="0"/>
        <v>34.999999999999993</v>
      </c>
      <c r="F25" s="3">
        <f t="shared" si="1"/>
        <v>29.999999999999982</v>
      </c>
      <c r="G25" s="4">
        <f t="shared" si="2"/>
        <v>28</v>
      </c>
      <c r="H25" s="2">
        <v>0</v>
      </c>
      <c r="J25" t="str">
        <f t="shared" si="3"/>
        <v>2013-04-28 22:00,0</v>
      </c>
      <c r="K25" t="str">
        <f t="shared" si="4"/>
        <v>2013-04-28 22:00,35,30,0</v>
      </c>
      <c r="L25" t="str">
        <f t="shared" si="5"/>
        <v>2013-04-28 22:00,35,28.,0</v>
      </c>
    </row>
    <row r="26" spans="3:12" x14ac:dyDescent="0.35">
      <c r="C26">
        <f t="shared" si="6"/>
        <v>23</v>
      </c>
      <c r="D26" s="1">
        <f t="shared" si="7"/>
        <v>41392.958333333278</v>
      </c>
      <c r="E26" s="3">
        <f t="shared" si="0"/>
        <v>37.411809548974794</v>
      </c>
      <c r="F26" s="3">
        <f t="shared" si="1"/>
        <v>39.64723819589917</v>
      </c>
      <c r="G26" s="4">
        <f t="shared" si="2"/>
        <v>28.723542864692437</v>
      </c>
      <c r="H26" s="2">
        <v>0</v>
      </c>
      <c r="J26" t="str">
        <f t="shared" si="3"/>
        <v>2013-04-28 23:00,0</v>
      </c>
      <c r="K26" t="str">
        <f t="shared" si="4"/>
        <v>2013-04-28 23:00,37,40,0</v>
      </c>
      <c r="L26" t="str">
        <f t="shared" si="5"/>
        <v>2013-04-28 23:00,37,28.72,0</v>
      </c>
    </row>
    <row r="27" spans="3:12" x14ac:dyDescent="0.35">
      <c r="C27">
        <f t="shared" si="6"/>
        <v>24</v>
      </c>
      <c r="D27" s="1">
        <f t="shared" si="7"/>
        <v>41392.999999999942</v>
      </c>
      <c r="E27" s="3">
        <f t="shared" si="0"/>
        <v>40</v>
      </c>
      <c r="F27" s="3">
        <f t="shared" si="1"/>
        <v>50</v>
      </c>
      <c r="G27" s="4">
        <f t="shared" si="2"/>
        <v>29.5</v>
      </c>
      <c r="H27" s="2">
        <v>0</v>
      </c>
      <c r="J27" t="str">
        <f t="shared" si="3"/>
        <v>2013-04-29 00:00,0</v>
      </c>
      <c r="K27" t="str">
        <f t="shared" si="4"/>
        <v>2013-04-29 00:00,40,50,0</v>
      </c>
      <c r="L27" t="str">
        <f t="shared" si="5"/>
        <v>2013-04-29 00:00,40,29.5,0</v>
      </c>
    </row>
    <row r="28" spans="3:12" x14ac:dyDescent="0.35">
      <c r="C28">
        <f t="shared" si="6"/>
        <v>25</v>
      </c>
      <c r="D28" s="1">
        <f t="shared" si="7"/>
        <v>41393.041666666606</v>
      </c>
      <c r="E28" s="3">
        <f t="shared" si="0"/>
        <v>42.588190451025206</v>
      </c>
      <c r="F28" s="3">
        <f t="shared" si="1"/>
        <v>60.35276180410083</v>
      </c>
      <c r="G28" s="4">
        <f t="shared" si="2"/>
        <v>30.276457135307563</v>
      </c>
      <c r="H28" s="2">
        <v>0</v>
      </c>
      <c r="J28" t="str">
        <f t="shared" si="3"/>
        <v>2013-04-29 01:00,0</v>
      </c>
      <c r="K28" t="str">
        <f t="shared" si="4"/>
        <v>2013-04-29 01:00,43,60,0</v>
      </c>
      <c r="L28" t="str">
        <f t="shared" si="5"/>
        <v>2013-04-29 01:00,43,30.28,0</v>
      </c>
    </row>
    <row r="29" spans="3:12" x14ac:dyDescent="0.35">
      <c r="C29">
        <f t="shared" si="6"/>
        <v>26</v>
      </c>
      <c r="D29" s="1">
        <f t="shared" si="7"/>
        <v>41393.08333333327</v>
      </c>
      <c r="E29" s="3">
        <f t="shared" si="0"/>
        <v>45</v>
      </c>
      <c r="F29" s="3">
        <f t="shared" si="1"/>
        <v>70</v>
      </c>
      <c r="G29" s="4">
        <f t="shared" si="2"/>
        <v>31</v>
      </c>
      <c r="H29" s="2">
        <v>0</v>
      </c>
      <c r="J29" t="str">
        <f t="shared" si="3"/>
        <v>2013-04-29 02:00,0</v>
      </c>
      <c r="K29" t="str">
        <f t="shared" si="4"/>
        <v>2013-04-29 02:00,45,70,0</v>
      </c>
      <c r="L29" t="str">
        <f t="shared" si="5"/>
        <v>2013-04-29 02:00,45,31.,0</v>
      </c>
    </row>
    <row r="30" spans="3:12" x14ac:dyDescent="0.35">
      <c r="C30">
        <f t="shared" si="6"/>
        <v>27</v>
      </c>
      <c r="D30" s="1">
        <f t="shared" si="7"/>
        <v>41393.124999999935</v>
      </c>
      <c r="E30" s="3">
        <f t="shared" si="0"/>
        <v>47.071067811865476</v>
      </c>
      <c r="F30" s="3">
        <f t="shared" si="1"/>
        <v>78.284271247461902</v>
      </c>
      <c r="G30" s="4">
        <f t="shared" si="2"/>
        <v>31.621320343559642</v>
      </c>
      <c r="H30" s="2">
        <v>0</v>
      </c>
      <c r="J30" t="str">
        <f t="shared" si="3"/>
        <v>2013-04-29 03:00,0</v>
      </c>
      <c r="K30" t="str">
        <f t="shared" si="4"/>
        <v>2013-04-29 03:00,47,78,0</v>
      </c>
      <c r="L30" t="str">
        <f t="shared" si="5"/>
        <v>2013-04-29 03:00,47,31.62,0</v>
      </c>
    </row>
    <row r="31" spans="3:12" x14ac:dyDescent="0.35">
      <c r="C31">
        <f t="shared" si="6"/>
        <v>28</v>
      </c>
      <c r="D31" s="1">
        <f t="shared" si="7"/>
        <v>41393.166666666599</v>
      </c>
      <c r="E31" s="3">
        <f t="shared" si="0"/>
        <v>48.660254037844382</v>
      </c>
      <c r="F31" s="3">
        <f t="shared" si="1"/>
        <v>84.641016151377542</v>
      </c>
      <c r="G31" s="4">
        <f t="shared" si="2"/>
        <v>32.098076211353316</v>
      </c>
      <c r="H31" s="2">
        <v>0</v>
      </c>
      <c r="J31" t="str">
        <f t="shared" si="3"/>
        <v>2013-04-29 04:00,0</v>
      </c>
      <c r="K31" t="str">
        <f t="shared" si="4"/>
        <v>2013-04-29 04:00,49,85,0</v>
      </c>
      <c r="L31" t="str">
        <f t="shared" si="5"/>
        <v>2013-04-29 04:00,49,32.1,0</v>
      </c>
    </row>
    <row r="32" spans="3:12" x14ac:dyDescent="0.35">
      <c r="C32">
        <f t="shared" si="6"/>
        <v>29</v>
      </c>
      <c r="D32" s="1">
        <f t="shared" si="7"/>
        <v>41393.208333333263</v>
      </c>
      <c r="E32" s="3">
        <f t="shared" si="0"/>
        <v>49.659258262890681</v>
      </c>
      <c r="F32" s="3">
        <f t="shared" si="1"/>
        <v>88.637033051562724</v>
      </c>
      <c r="G32" s="4">
        <f t="shared" si="2"/>
        <v>32.397777478867205</v>
      </c>
      <c r="H32" s="2">
        <v>0</v>
      </c>
      <c r="J32" t="str">
        <f t="shared" si="3"/>
        <v>2013-04-29 05:00,0</v>
      </c>
      <c r="K32" t="str">
        <f t="shared" si="4"/>
        <v>2013-04-29 05:00,50,89,0</v>
      </c>
      <c r="L32" t="str">
        <f t="shared" si="5"/>
        <v>2013-04-29 05:00,50,32.4,0</v>
      </c>
    </row>
    <row r="33" spans="3:12" x14ac:dyDescent="0.35">
      <c r="C33">
        <f t="shared" si="6"/>
        <v>30</v>
      </c>
      <c r="D33" s="1">
        <f t="shared" si="7"/>
        <v>41393.249999999927</v>
      </c>
      <c r="E33" s="3">
        <f t="shared" si="0"/>
        <v>50</v>
      </c>
      <c r="F33" s="3">
        <f t="shared" si="1"/>
        <v>90</v>
      </c>
      <c r="G33" s="4">
        <f t="shared" si="2"/>
        <v>32.5</v>
      </c>
      <c r="H33" s="2">
        <v>0</v>
      </c>
      <c r="J33" t="str">
        <f t="shared" si="3"/>
        <v>2013-04-29 06:00,0</v>
      </c>
      <c r="K33" t="str">
        <f t="shared" si="4"/>
        <v>2013-04-29 06:00,50,90,0</v>
      </c>
      <c r="L33" t="str">
        <f t="shared" si="5"/>
        <v>2013-04-29 06:00,50,32.5,0</v>
      </c>
    </row>
    <row r="34" spans="3:12" x14ac:dyDescent="0.35">
      <c r="C34">
        <f t="shared" si="6"/>
        <v>31</v>
      </c>
      <c r="D34" s="1">
        <f t="shared" si="7"/>
        <v>41393.291666666591</v>
      </c>
      <c r="E34" s="3">
        <f t="shared" si="0"/>
        <v>49.659258262890681</v>
      </c>
      <c r="F34" s="3">
        <f t="shared" si="1"/>
        <v>88.637033051562724</v>
      </c>
      <c r="G34" s="4">
        <f t="shared" si="2"/>
        <v>32.397777478867205</v>
      </c>
      <c r="H34" s="2">
        <v>0</v>
      </c>
      <c r="J34" t="str">
        <f t="shared" si="3"/>
        <v>2013-04-29 07:00,0</v>
      </c>
      <c r="K34" t="str">
        <f t="shared" si="4"/>
        <v>2013-04-29 07:00,50,89,0</v>
      </c>
      <c r="L34" t="str">
        <f t="shared" si="5"/>
        <v>2013-04-29 07:00,50,32.4,0</v>
      </c>
    </row>
    <row r="35" spans="3:12" x14ac:dyDescent="0.35">
      <c r="C35">
        <f t="shared" si="6"/>
        <v>32</v>
      </c>
      <c r="D35" s="1">
        <f t="shared" si="7"/>
        <v>41393.333333333256</v>
      </c>
      <c r="E35" s="3">
        <f t="shared" si="0"/>
        <v>48.660254037844389</v>
      </c>
      <c r="F35" s="3">
        <f t="shared" si="1"/>
        <v>84.641016151377556</v>
      </c>
      <c r="G35" s="4">
        <f t="shared" si="2"/>
        <v>32.098076211353316</v>
      </c>
      <c r="H35" s="2">
        <v>0</v>
      </c>
      <c r="J35" t="str">
        <f t="shared" si="3"/>
        <v>2013-04-29 08:00,0</v>
      </c>
      <c r="K35" t="str">
        <f t="shared" si="4"/>
        <v>2013-04-29 08:00,49,85,0</v>
      </c>
      <c r="L35" t="str">
        <f t="shared" si="5"/>
        <v>2013-04-29 08:00,49,32.1,0</v>
      </c>
    </row>
    <row r="36" spans="3:12" x14ac:dyDescent="0.35">
      <c r="C36">
        <f t="shared" si="6"/>
        <v>33</v>
      </c>
      <c r="D36" s="1">
        <f t="shared" si="7"/>
        <v>41393.37499999992</v>
      </c>
      <c r="E36" s="3">
        <f t="shared" si="0"/>
        <v>47.071067811865476</v>
      </c>
      <c r="F36" s="3">
        <f t="shared" si="1"/>
        <v>78.284271247461902</v>
      </c>
      <c r="G36" s="4">
        <f t="shared" si="2"/>
        <v>31.621320343559642</v>
      </c>
      <c r="H36" s="2">
        <v>0</v>
      </c>
      <c r="J36" t="str">
        <f t="shared" si="3"/>
        <v>2013-04-29 09:00,0</v>
      </c>
      <c r="K36" t="str">
        <f t="shared" si="4"/>
        <v>2013-04-29 09:00,47,78,0</v>
      </c>
      <c r="L36" t="str">
        <f t="shared" si="5"/>
        <v>2013-04-29 09:00,47,31.62,0</v>
      </c>
    </row>
    <row r="37" spans="3:12" x14ac:dyDescent="0.35">
      <c r="C37">
        <f t="shared" si="6"/>
        <v>34</v>
      </c>
      <c r="D37" s="1">
        <f t="shared" si="7"/>
        <v>41393.416666666584</v>
      </c>
      <c r="E37" s="3">
        <f t="shared" si="0"/>
        <v>45</v>
      </c>
      <c r="F37" s="3">
        <f t="shared" si="1"/>
        <v>70</v>
      </c>
      <c r="G37" s="4">
        <f t="shared" si="2"/>
        <v>31</v>
      </c>
      <c r="H37" s="2">
        <v>0</v>
      </c>
      <c r="J37" t="str">
        <f t="shared" si="3"/>
        <v>2013-04-29 10:00,0</v>
      </c>
      <c r="K37" t="str">
        <f t="shared" si="4"/>
        <v>2013-04-29 10:00,45,70,0</v>
      </c>
      <c r="L37" t="str">
        <f t="shared" si="5"/>
        <v>2013-04-29 10:00,45,31.,0</v>
      </c>
    </row>
    <row r="38" spans="3:12" x14ac:dyDescent="0.35">
      <c r="C38">
        <f t="shared" si="6"/>
        <v>35</v>
      </c>
      <c r="D38" s="1">
        <f t="shared" si="7"/>
        <v>41393.458333333248</v>
      </c>
      <c r="E38" s="3">
        <f t="shared" si="0"/>
        <v>42.588190451025213</v>
      </c>
      <c r="F38" s="3">
        <f t="shared" si="1"/>
        <v>60.352761804100837</v>
      </c>
      <c r="G38" s="4">
        <f t="shared" si="2"/>
        <v>30.276457135307563</v>
      </c>
      <c r="H38" s="2">
        <v>0</v>
      </c>
      <c r="J38" t="str">
        <f t="shared" si="3"/>
        <v>2013-04-29 11:00,0</v>
      </c>
      <c r="K38" t="str">
        <f t="shared" si="4"/>
        <v>2013-04-29 11:00,43,60,0</v>
      </c>
      <c r="L38" t="str">
        <f t="shared" si="5"/>
        <v>2013-04-29 11:00,43,30.28,0</v>
      </c>
    </row>
    <row r="39" spans="3:12" x14ac:dyDescent="0.35">
      <c r="C39">
        <f t="shared" si="6"/>
        <v>36</v>
      </c>
      <c r="D39" s="1">
        <f t="shared" si="7"/>
        <v>41393.499999999913</v>
      </c>
      <c r="E39" s="3">
        <f t="shared" si="0"/>
        <v>40</v>
      </c>
      <c r="F39" s="3">
        <f t="shared" si="1"/>
        <v>50.000000000000007</v>
      </c>
      <c r="G39" s="4">
        <f t="shared" si="2"/>
        <v>29.5</v>
      </c>
      <c r="H39" s="2">
        <v>0</v>
      </c>
      <c r="J39" t="str">
        <f t="shared" si="3"/>
        <v>2013-04-29 12:00,0</v>
      </c>
      <c r="K39" t="str">
        <f t="shared" si="4"/>
        <v>2013-04-29 12:00,40,50,0</v>
      </c>
      <c r="L39" t="str">
        <f t="shared" si="5"/>
        <v>2013-04-29 12:00,40,29.5,0</v>
      </c>
    </row>
    <row r="40" spans="3:12" x14ac:dyDescent="0.35">
      <c r="C40">
        <f t="shared" si="6"/>
        <v>37</v>
      </c>
      <c r="D40" s="1">
        <f t="shared" si="7"/>
        <v>41393.541666666577</v>
      </c>
      <c r="E40" s="3">
        <f t="shared" si="0"/>
        <v>37.411809548974794</v>
      </c>
      <c r="F40" s="3">
        <f t="shared" si="1"/>
        <v>39.64723819589917</v>
      </c>
      <c r="G40" s="4">
        <f t="shared" si="2"/>
        <v>28.723542864692437</v>
      </c>
      <c r="H40" s="2">
        <v>0</v>
      </c>
      <c r="J40" t="str">
        <f t="shared" si="3"/>
        <v>2013-04-29 13:00,0</v>
      </c>
      <c r="K40" t="str">
        <f t="shared" si="4"/>
        <v>2013-04-29 13:00,37,40,0</v>
      </c>
      <c r="L40" t="str">
        <f t="shared" si="5"/>
        <v>2013-04-29 13:00,37,28.72,0</v>
      </c>
    </row>
    <row r="41" spans="3:12" x14ac:dyDescent="0.35">
      <c r="C41">
        <f t="shared" si="6"/>
        <v>38</v>
      </c>
      <c r="D41" s="1">
        <f t="shared" si="7"/>
        <v>41393.583333333241</v>
      </c>
      <c r="E41" s="3">
        <f t="shared" si="0"/>
        <v>35</v>
      </c>
      <c r="F41" s="3">
        <f t="shared" si="1"/>
        <v>29.999999999999996</v>
      </c>
      <c r="G41" s="4">
        <f t="shared" si="2"/>
        <v>28</v>
      </c>
      <c r="H41" s="2">
        <v>0</v>
      </c>
      <c r="J41" t="str">
        <f t="shared" si="3"/>
        <v>2013-04-29 14:00,0</v>
      </c>
      <c r="K41" t="str">
        <f t="shared" si="4"/>
        <v>2013-04-29 14:00,35,30,0</v>
      </c>
      <c r="L41" t="str">
        <f t="shared" si="5"/>
        <v>2013-04-29 14:00,35,28.,0</v>
      </c>
    </row>
    <row r="42" spans="3:12" x14ac:dyDescent="0.35">
      <c r="C42">
        <f t="shared" si="6"/>
        <v>39</v>
      </c>
      <c r="D42" s="1">
        <f t="shared" si="7"/>
        <v>41393.624999999905</v>
      </c>
      <c r="E42" s="3">
        <f t="shared" si="0"/>
        <v>32.928932188134524</v>
      </c>
      <c r="F42" s="3">
        <f t="shared" si="1"/>
        <v>21.715728752538102</v>
      </c>
      <c r="G42" s="4">
        <f t="shared" si="2"/>
        <v>27.378679656440358</v>
      </c>
      <c r="H42" s="2">
        <v>0</v>
      </c>
      <c r="J42" t="str">
        <f t="shared" si="3"/>
        <v>2013-04-29 15:00,0</v>
      </c>
      <c r="K42" t="str">
        <f t="shared" si="4"/>
        <v>2013-04-29 15:00,33,22,0</v>
      </c>
      <c r="L42" t="str">
        <f t="shared" si="5"/>
        <v>2013-04-29 15:00,33,27.38,0</v>
      </c>
    </row>
    <row r="43" spans="3:12" x14ac:dyDescent="0.35">
      <c r="C43">
        <f t="shared" si="6"/>
        <v>40</v>
      </c>
      <c r="D43" s="1">
        <f t="shared" si="7"/>
        <v>41393.66666666657</v>
      </c>
      <c r="E43" s="3">
        <f t="shared" si="0"/>
        <v>31.339745962155618</v>
      </c>
      <c r="F43" s="3">
        <f t="shared" si="1"/>
        <v>15.358983848622465</v>
      </c>
      <c r="G43" s="4">
        <f t="shared" si="2"/>
        <v>26.901923788646684</v>
      </c>
      <c r="H43" s="2">
        <v>0</v>
      </c>
      <c r="J43" t="str">
        <f t="shared" si="3"/>
        <v>2013-04-29 16:00,0</v>
      </c>
      <c r="K43" t="str">
        <f t="shared" si="4"/>
        <v>2013-04-29 16:00,31,15,0</v>
      </c>
      <c r="L43" t="str">
        <f t="shared" si="5"/>
        <v>2013-04-29 16:00,31,26.9,0</v>
      </c>
    </row>
    <row r="44" spans="3:12" x14ac:dyDescent="0.35">
      <c r="C44">
        <f t="shared" si="6"/>
        <v>41</v>
      </c>
      <c r="D44" s="1">
        <f t="shared" si="7"/>
        <v>41393.708333333234</v>
      </c>
      <c r="E44" s="3">
        <f t="shared" si="0"/>
        <v>30.340741737109319</v>
      </c>
      <c r="F44" s="3">
        <f t="shared" si="1"/>
        <v>11.362966948437268</v>
      </c>
      <c r="G44" s="4">
        <f t="shared" si="2"/>
        <v>26.602222521132795</v>
      </c>
      <c r="H44" s="2">
        <v>0</v>
      </c>
      <c r="J44" t="str">
        <f t="shared" si="3"/>
        <v>2013-04-29 17:00,0</v>
      </c>
      <c r="K44" t="str">
        <f t="shared" si="4"/>
        <v>2013-04-29 17:00,30,11,0</v>
      </c>
      <c r="L44" t="str">
        <f t="shared" si="5"/>
        <v>2013-04-29 17:00,30,26.6,0</v>
      </c>
    </row>
    <row r="45" spans="3:12" x14ac:dyDescent="0.35">
      <c r="C45">
        <f t="shared" si="6"/>
        <v>42</v>
      </c>
      <c r="D45" s="1">
        <f t="shared" si="7"/>
        <v>41393.749999999898</v>
      </c>
      <c r="E45" s="3">
        <f t="shared" si="0"/>
        <v>30</v>
      </c>
      <c r="F45" s="3">
        <f t="shared" si="1"/>
        <v>10</v>
      </c>
      <c r="G45" s="4">
        <f t="shared" si="2"/>
        <v>26.5</v>
      </c>
      <c r="H45" s="2">
        <v>0</v>
      </c>
      <c r="J45" t="str">
        <f t="shared" si="3"/>
        <v>2013-04-29 18:00,0</v>
      </c>
      <c r="K45" t="str">
        <f t="shared" si="4"/>
        <v>2013-04-29 18:00,30,10,0</v>
      </c>
      <c r="L45" t="str">
        <f t="shared" si="5"/>
        <v>2013-04-29 18:00,30,26.5,0</v>
      </c>
    </row>
    <row r="46" spans="3:12" x14ac:dyDescent="0.35">
      <c r="C46">
        <f t="shared" si="6"/>
        <v>43</v>
      </c>
      <c r="D46" s="1">
        <f t="shared" si="7"/>
        <v>41393.791666666562</v>
      </c>
      <c r="E46" s="3">
        <f t="shared" si="0"/>
        <v>30.340741737109315</v>
      </c>
      <c r="F46" s="3">
        <f t="shared" si="1"/>
        <v>11.362966948437261</v>
      </c>
      <c r="G46" s="4">
        <f t="shared" si="2"/>
        <v>26.602222521132795</v>
      </c>
      <c r="H46" s="2">
        <v>0</v>
      </c>
      <c r="J46" t="str">
        <f t="shared" si="3"/>
        <v>2013-04-29 19:00,0</v>
      </c>
      <c r="K46" t="str">
        <f t="shared" si="4"/>
        <v>2013-04-29 19:00,30,11,0</v>
      </c>
      <c r="L46" t="str">
        <f t="shared" si="5"/>
        <v>2013-04-29 19:00,30,26.6,0</v>
      </c>
    </row>
    <row r="47" spans="3:12" x14ac:dyDescent="0.35">
      <c r="C47">
        <f t="shared" si="6"/>
        <v>44</v>
      </c>
      <c r="D47" s="1">
        <f t="shared" si="7"/>
        <v>41393.833333333227</v>
      </c>
      <c r="E47" s="3">
        <f t="shared" si="0"/>
        <v>31.339745962155614</v>
      </c>
      <c r="F47" s="3">
        <f t="shared" si="1"/>
        <v>15.358983848622458</v>
      </c>
      <c r="G47" s="4">
        <f t="shared" si="2"/>
        <v>26.901923788646684</v>
      </c>
      <c r="H47" s="2">
        <v>0</v>
      </c>
      <c r="J47" t="str">
        <f t="shared" si="3"/>
        <v>2013-04-29 20:00,0</v>
      </c>
      <c r="K47" t="str">
        <f t="shared" si="4"/>
        <v>2013-04-29 20:00,31,15,0</v>
      </c>
      <c r="L47" t="str">
        <f t="shared" si="5"/>
        <v>2013-04-29 20:00,31,26.9,0</v>
      </c>
    </row>
    <row r="48" spans="3:12" x14ac:dyDescent="0.35">
      <c r="C48">
        <f t="shared" si="6"/>
        <v>45</v>
      </c>
      <c r="D48" s="1">
        <f t="shared" si="7"/>
        <v>41393.874999999891</v>
      </c>
      <c r="E48" s="3">
        <f t="shared" si="0"/>
        <v>32.928932188134524</v>
      </c>
      <c r="F48" s="3">
        <f t="shared" si="1"/>
        <v>21.715728752538091</v>
      </c>
      <c r="G48" s="4">
        <f t="shared" si="2"/>
        <v>27.378679656440358</v>
      </c>
      <c r="H48" s="2">
        <v>0</v>
      </c>
      <c r="J48" t="str">
        <f t="shared" si="3"/>
        <v>2013-04-29 21:00,0</v>
      </c>
      <c r="K48" t="str">
        <f t="shared" si="4"/>
        <v>2013-04-29 21:00,33,22,0</v>
      </c>
      <c r="L48" t="str">
        <f t="shared" si="5"/>
        <v>2013-04-29 21:00,33,27.38,0</v>
      </c>
    </row>
    <row r="49" spans="3:12" x14ac:dyDescent="0.35">
      <c r="C49">
        <f t="shared" si="6"/>
        <v>46</v>
      </c>
      <c r="D49" s="1">
        <f t="shared" si="7"/>
        <v>41393.916666666555</v>
      </c>
      <c r="E49" s="3">
        <f t="shared" si="0"/>
        <v>34.999999999999993</v>
      </c>
      <c r="F49" s="3">
        <f t="shared" si="1"/>
        <v>29.999999999999982</v>
      </c>
      <c r="G49" s="4">
        <f t="shared" si="2"/>
        <v>28</v>
      </c>
      <c r="H49" s="2">
        <v>0</v>
      </c>
      <c r="J49" t="str">
        <f t="shared" si="3"/>
        <v>2013-04-29 22:00,0</v>
      </c>
      <c r="K49" t="str">
        <f t="shared" si="4"/>
        <v>2013-04-29 22:00,35,30,0</v>
      </c>
      <c r="L49" t="str">
        <f t="shared" si="5"/>
        <v>2013-04-29 22:00,35,28.,0</v>
      </c>
    </row>
    <row r="50" spans="3:12" x14ac:dyDescent="0.35">
      <c r="C50">
        <f t="shared" si="6"/>
        <v>47</v>
      </c>
      <c r="D50" s="1">
        <f t="shared" si="7"/>
        <v>41393.958333333219</v>
      </c>
      <c r="E50" s="3">
        <f t="shared" si="0"/>
        <v>37.411809548974794</v>
      </c>
      <c r="F50" s="3">
        <f t="shared" si="1"/>
        <v>39.64723819589917</v>
      </c>
      <c r="G50" s="4">
        <f t="shared" si="2"/>
        <v>28.723542864692437</v>
      </c>
      <c r="H50" s="2">
        <v>0</v>
      </c>
      <c r="J50" t="str">
        <f t="shared" si="3"/>
        <v>2013-04-29 23:00,0</v>
      </c>
      <c r="K50" t="str">
        <f t="shared" si="4"/>
        <v>2013-04-29 23:00,37,40,0</v>
      </c>
      <c r="L50" t="str">
        <f t="shared" si="5"/>
        <v>2013-04-29 23:00,37,28.72,0</v>
      </c>
    </row>
    <row r="51" spans="3:12" x14ac:dyDescent="0.35">
      <c r="C51">
        <f t="shared" si="6"/>
        <v>48</v>
      </c>
      <c r="D51" s="1">
        <f t="shared" si="7"/>
        <v>41393.999999999884</v>
      </c>
      <c r="E51" s="3">
        <f t="shared" si="0"/>
        <v>40</v>
      </c>
      <c r="F51" s="3">
        <f t="shared" si="1"/>
        <v>50</v>
      </c>
      <c r="G51" s="4">
        <f t="shared" si="2"/>
        <v>29.5</v>
      </c>
      <c r="H51" s="2">
        <v>0</v>
      </c>
      <c r="J51" t="str">
        <f t="shared" si="3"/>
        <v>2013-04-30 00:00,0</v>
      </c>
      <c r="K51" t="str">
        <f t="shared" si="4"/>
        <v>2013-04-30 00:00,40,50,0</v>
      </c>
      <c r="L51" t="str">
        <f t="shared" si="5"/>
        <v>2013-04-30 00:00,40,29.5,0</v>
      </c>
    </row>
    <row r="52" spans="3:12" x14ac:dyDescent="0.35">
      <c r="C52">
        <f t="shared" si="6"/>
        <v>49</v>
      </c>
      <c r="D52" s="1">
        <f t="shared" si="7"/>
        <v>41394.041666666548</v>
      </c>
      <c r="E52" s="3">
        <f t="shared" si="0"/>
        <v>42.588190451025206</v>
      </c>
      <c r="F52" s="3">
        <f t="shared" si="1"/>
        <v>60.35276180410083</v>
      </c>
      <c r="G52" s="4">
        <f t="shared" si="2"/>
        <v>30.276457135307563</v>
      </c>
      <c r="H52" s="2">
        <v>0</v>
      </c>
      <c r="J52" t="str">
        <f t="shared" si="3"/>
        <v>2013-04-30 01:00,0</v>
      </c>
      <c r="K52" t="str">
        <f t="shared" si="4"/>
        <v>2013-04-30 01:00,43,60,0</v>
      </c>
      <c r="L52" t="str">
        <f t="shared" si="5"/>
        <v>2013-04-30 01:00,43,30.28,0</v>
      </c>
    </row>
    <row r="53" spans="3:12" x14ac:dyDescent="0.35">
      <c r="C53">
        <f t="shared" si="6"/>
        <v>50</v>
      </c>
      <c r="D53" s="1">
        <f t="shared" si="7"/>
        <v>41394.083333333212</v>
      </c>
      <c r="E53" s="3">
        <f t="shared" si="0"/>
        <v>45</v>
      </c>
      <c r="F53" s="3">
        <f t="shared" si="1"/>
        <v>70</v>
      </c>
      <c r="G53" s="4">
        <f t="shared" si="2"/>
        <v>31</v>
      </c>
      <c r="H53" s="2">
        <v>0</v>
      </c>
      <c r="J53" t="str">
        <f t="shared" si="3"/>
        <v>2013-04-30 02:00,0</v>
      </c>
      <c r="K53" t="str">
        <f t="shared" si="4"/>
        <v>2013-04-30 02:00,45,70,0</v>
      </c>
      <c r="L53" t="str">
        <f t="shared" si="5"/>
        <v>2013-04-30 02:00,45,31.,0</v>
      </c>
    </row>
    <row r="54" spans="3:12" x14ac:dyDescent="0.35">
      <c r="C54">
        <f t="shared" si="6"/>
        <v>51</v>
      </c>
      <c r="D54" s="1">
        <f t="shared" si="7"/>
        <v>41394.124999999876</v>
      </c>
      <c r="E54" s="3">
        <f t="shared" si="0"/>
        <v>47.071067811865476</v>
      </c>
      <c r="F54" s="3">
        <f t="shared" si="1"/>
        <v>78.284271247461902</v>
      </c>
      <c r="G54" s="4">
        <f t="shared" si="2"/>
        <v>31.621320343559642</v>
      </c>
      <c r="H54" s="2">
        <v>0</v>
      </c>
      <c r="J54" t="str">
        <f t="shared" si="3"/>
        <v>2013-04-30 03:00,0</v>
      </c>
      <c r="K54" t="str">
        <f t="shared" si="4"/>
        <v>2013-04-30 03:00,47,78,0</v>
      </c>
      <c r="L54" t="str">
        <f t="shared" si="5"/>
        <v>2013-04-30 03:00,47,31.62,0</v>
      </c>
    </row>
    <row r="55" spans="3:12" x14ac:dyDescent="0.35">
      <c r="C55">
        <f t="shared" si="6"/>
        <v>52</v>
      </c>
      <c r="D55" s="1">
        <f t="shared" si="7"/>
        <v>41394.166666666541</v>
      </c>
      <c r="E55" s="3">
        <f t="shared" si="0"/>
        <v>48.660254037844382</v>
      </c>
      <c r="F55" s="3">
        <f t="shared" si="1"/>
        <v>84.641016151377542</v>
      </c>
      <c r="G55" s="4">
        <f t="shared" si="2"/>
        <v>32.098076211353316</v>
      </c>
      <c r="H55" s="2">
        <v>0</v>
      </c>
      <c r="J55" t="str">
        <f t="shared" si="3"/>
        <v>2013-04-30 04:00,0</v>
      </c>
      <c r="K55" t="str">
        <f t="shared" si="4"/>
        <v>2013-04-30 04:00,49,85,0</v>
      </c>
      <c r="L55" t="str">
        <f t="shared" si="5"/>
        <v>2013-04-30 04:00,49,32.1,0</v>
      </c>
    </row>
    <row r="56" spans="3:12" x14ac:dyDescent="0.35">
      <c r="C56">
        <f t="shared" si="6"/>
        <v>53</v>
      </c>
      <c r="D56" s="1">
        <f t="shared" si="7"/>
        <v>41394.208333333205</v>
      </c>
      <c r="E56" s="3">
        <f t="shared" si="0"/>
        <v>49.659258262890681</v>
      </c>
      <c r="F56" s="3">
        <f t="shared" si="1"/>
        <v>88.637033051562724</v>
      </c>
      <c r="G56" s="4">
        <f t="shared" si="2"/>
        <v>32.397777478867205</v>
      </c>
      <c r="H56" s="2">
        <v>0</v>
      </c>
      <c r="J56" t="str">
        <f t="shared" si="3"/>
        <v>2013-04-30 05:00,0</v>
      </c>
      <c r="K56" t="str">
        <f t="shared" si="4"/>
        <v>2013-04-30 05:00,50,89,0</v>
      </c>
      <c r="L56" t="str">
        <f t="shared" si="5"/>
        <v>2013-04-30 05:00,50,32.4,0</v>
      </c>
    </row>
    <row r="57" spans="3:12" x14ac:dyDescent="0.35">
      <c r="C57">
        <f t="shared" si="6"/>
        <v>54</v>
      </c>
      <c r="D57" s="1">
        <f t="shared" si="7"/>
        <v>41394.249999999869</v>
      </c>
      <c r="E57" s="3">
        <f t="shared" si="0"/>
        <v>50</v>
      </c>
      <c r="F57" s="3">
        <f t="shared" si="1"/>
        <v>90</v>
      </c>
      <c r="G57" s="4">
        <f t="shared" si="2"/>
        <v>32.5</v>
      </c>
      <c r="H57" s="2">
        <v>0</v>
      </c>
      <c r="J57" t="str">
        <f t="shared" si="3"/>
        <v>2013-04-30 06:00,0</v>
      </c>
      <c r="K57" t="str">
        <f t="shared" si="4"/>
        <v>2013-04-30 06:00,50,90,0</v>
      </c>
      <c r="L57" t="str">
        <f t="shared" si="5"/>
        <v>2013-04-30 06:00,50,32.5,0</v>
      </c>
    </row>
    <row r="58" spans="3:12" x14ac:dyDescent="0.35">
      <c r="C58">
        <f t="shared" si="6"/>
        <v>55</v>
      </c>
      <c r="D58" s="1">
        <f t="shared" si="7"/>
        <v>41394.291666666533</v>
      </c>
      <c r="E58" s="3">
        <f t="shared" si="0"/>
        <v>49.659258262890681</v>
      </c>
      <c r="F58" s="3">
        <f t="shared" si="1"/>
        <v>88.637033051562724</v>
      </c>
      <c r="G58" s="4">
        <f t="shared" si="2"/>
        <v>32.397777478867205</v>
      </c>
      <c r="H58" s="2">
        <v>0</v>
      </c>
      <c r="J58" t="str">
        <f t="shared" si="3"/>
        <v>2013-04-30 07:00,0</v>
      </c>
      <c r="K58" t="str">
        <f t="shared" si="4"/>
        <v>2013-04-30 07:00,50,89,0</v>
      </c>
      <c r="L58" t="str">
        <f t="shared" si="5"/>
        <v>2013-04-30 07:00,50,32.4,0</v>
      </c>
    </row>
    <row r="59" spans="3:12" x14ac:dyDescent="0.35">
      <c r="C59">
        <f t="shared" si="6"/>
        <v>56</v>
      </c>
      <c r="D59" s="1">
        <f t="shared" si="7"/>
        <v>41394.333333333198</v>
      </c>
      <c r="E59" s="3">
        <f t="shared" si="0"/>
        <v>48.660254037844389</v>
      </c>
      <c r="F59" s="3">
        <f t="shared" si="1"/>
        <v>84.641016151377556</v>
      </c>
      <c r="G59" s="4">
        <f t="shared" si="2"/>
        <v>32.098076211353316</v>
      </c>
      <c r="H59" s="2">
        <v>0</v>
      </c>
      <c r="J59" t="str">
        <f t="shared" si="3"/>
        <v>2013-04-30 08:00,0</v>
      </c>
      <c r="K59" t="str">
        <f t="shared" si="4"/>
        <v>2013-04-30 08:00,49,85,0</v>
      </c>
      <c r="L59" t="str">
        <f t="shared" si="5"/>
        <v>2013-04-30 08:00,49,32.1,0</v>
      </c>
    </row>
    <row r="60" spans="3:12" x14ac:dyDescent="0.35">
      <c r="C60">
        <f t="shared" si="6"/>
        <v>57</v>
      </c>
      <c r="D60" s="1">
        <f t="shared" si="7"/>
        <v>41394.374999999862</v>
      </c>
      <c r="E60" s="3">
        <f t="shared" si="0"/>
        <v>47.071067811865476</v>
      </c>
      <c r="F60" s="3">
        <f t="shared" si="1"/>
        <v>78.284271247461902</v>
      </c>
      <c r="G60" s="4">
        <f t="shared" si="2"/>
        <v>31.621320343559642</v>
      </c>
      <c r="H60" s="2">
        <v>0</v>
      </c>
      <c r="J60" t="str">
        <f t="shared" si="3"/>
        <v>2013-04-30 09:00,0</v>
      </c>
      <c r="K60" t="str">
        <f t="shared" si="4"/>
        <v>2013-04-30 09:00,47,78,0</v>
      </c>
      <c r="L60" t="str">
        <f t="shared" si="5"/>
        <v>2013-04-30 09:00,47,31.62,0</v>
      </c>
    </row>
    <row r="61" spans="3:12" x14ac:dyDescent="0.35">
      <c r="C61">
        <f t="shared" si="6"/>
        <v>58</v>
      </c>
      <c r="D61" s="1">
        <f t="shared" si="7"/>
        <v>41394.416666666526</v>
      </c>
      <c r="E61" s="3">
        <f t="shared" si="0"/>
        <v>45</v>
      </c>
      <c r="F61" s="3">
        <f t="shared" si="1"/>
        <v>70</v>
      </c>
      <c r="G61" s="4">
        <f t="shared" si="2"/>
        <v>31</v>
      </c>
      <c r="H61" s="2">
        <v>0</v>
      </c>
      <c r="J61" t="str">
        <f t="shared" si="3"/>
        <v>2013-04-30 10:00,0</v>
      </c>
      <c r="K61" t="str">
        <f t="shared" si="4"/>
        <v>2013-04-30 10:00,45,70,0</v>
      </c>
      <c r="L61" t="str">
        <f t="shared" si="5"/>
        <v>2013-04-30 10:00,45,31.,0</v>
      </c>
    </row>
    <row r="62" spans="3:12" x14ac:dyDescent="0.35">
      <c r="C62">
        <f t="shared" si="6"/>
        <v>59</v>
      </c>
      <c r="D62" s="1">
        <f t="shared" si="7"/>
        <v>41394.45833333319</v>
      </c>
      <c r="E62" s="3">
        <f t="shared" si="0"/>
        <v>42.588190451025213</v>
      </c>
      <c r="F62" s="3">
        <f t="shared" si="1"/>
        <v>60.352761804100837</v>
      </c>
      <c r="G62" s="4">
        <f t="shared" si="2"/>
        <v>30.276457135307563</v>
      </c>
      <c r="H62" s="2">
        <v>0</v>
      </c>
      <c r="J62" t="str">
        <f t="shared" si="3"/>
        <v>2013-04-30 11:00,0</v>
      </c>
      <c r="K62" t="str">
        <f t="shared" si="4"/>
        <v>2013-04-30 11:00,43,60,0</v>
      </c>
      <c r="L62" t="str">
        <f t="shared" si="5"/>
        <v>2013-04-30 11:00,43,30.28,0</v>
      </c>
    </row>
    <row r="63" spans="3:12" x14ac:dyDescent="0.35">
      <c r="C63">
        <f t="shared" si="6"/>
        <v>60</v>
      </c>
      <c r="D63" s="1">
        <f t="shared" si="7"/>
        <v>41394.499999999854</v>
      </c>
      <c r="E63" s="3">
        <f t="shared" si="0"/>
        <v>40</v>
      </c>
      <c r="F63" s="3">
        <f t="shared" si="1"/>
        <v>50.000000000000007</v>
      </c>
      <c r="G63" s="4">
        <f t="shared" si="2"/>
        <v>29.5</v>
      </c>
      <c r="H63" s="2">
        <v>0</v>
      </c>
      <c r="J63" t="str">
        <f t="shared" si="3"/>
        <v>2013-04-30 12:00,0</v>
      </c>
      <c r="K63" t="str">
        <f t="shared" si="4"/>
        <v>2013-04-30 12:00,40,50,0</v>
      </c>
      <c r="L63" t="str">
        <f t="shared" si="5"/>
        <v>2013-04-30 12:00,40,29.5,0</v>
      </c>
    </row>
    <row r="64" spans="3:12" x14ac:dyDescent="0.35">
      <c r="C64">
        <f t="shared" si="6"/>
        <v>61</v>
      </c>
      <c r="D64" s="1">
        <f t="shared" si="7"/>
        <v>41394.541666666519</v>
      </c>
      <c r="E64" s="3">
        <f t="shared" si="0"/>
        <v>37.411809548974794</v>
      </c>
      <c r="F64" s="3">
        <f t="shared" si="1"/>
        <v>39.64723819589917</v>
      </c>
      <c r="G64" s="4">
        <f t="shared" si="2"/>
        <v>28.723542864692437</v>
      </c>
      <c r="H64" s="2">
        <v>0</v>
      </c>
      <c r="J64" t="str">
        <f t="shared" si="3"/>
        <v>2013-04-30 13:00,0</v>
      </c>
      <c r="K64" t="str">
        <f t="shared" si="4"/>
        <v>2013-04-30 13:00,37,40,0</v>
      </c>
      <c r="L64" t="str">
        <f t="shared" si="5"/>
        <v>2013-04-30 13:00,37,28.72,0</v>
      </c>
    </row>
    <row r="65" spans="3:12" x14ac:dyDescent="0.35">
      <c r="C65">
        <f t="shared" si="6"/>
        <v>62</v>
      </c>
      <c r="D65" s="1">
        <f t="shared" si="7"/>
        <v>41394.583333333183</v>
      </c>
      <c r="E65" s="3">
        <f t="shared" si="0"/>
        <v>35</v>
      </c>
      <c r="F65" s="3">
        <f t="shared" si="1"/>
        <v>29.999999999999996</v>
      </c>
      <c r="G65" s="4">
        <f t="shared" si="2"/>
        <v>28</v>
      </c>
      <c r="H65" s="2">
        <v>0</v>
      </c>
      <c r="J65" t="str">
        <f t="shared" si="3"/>
        <v>2013-04-30 14:00,0</v>
      </c>
      <c r="K65" t="str">
        <f t="shared" si="4"/>
        <v>2013-04-30 14:00,35,30,0</v>
      </c>
      <c r="L65" t="str">
        <f t="shared" si="5"/>
        <v>2013-04-30 14:00,35,28.,0</v>
      </c>
    </row>
    <row r="66" spans="3:12" x14ac:dyDescent="0.35">
      <c r="C66">
        <f t="shared" si="6"/>
        <v>63</v>
      </c>
      <c r="D66" s="1">
        <f t="shared" si="7"/>
        <v>41394.624999999847</v>
      </c>
      <c r="E66" s="3">
        <f t="shared" si="0"/>
        <v>32.928932188134524</v>
      </c>
      <c r="F66" s="3">
        <f t="shared" si="1"/>
        <v>21.715728752538102</v>
      </c>
      <c r="G66" s="4">
        <f t="shared" si="2"/>
        <v>27.378679656440358</v>
      </c>
      <c r="H66" s="2">
        <v>0</v>
      </c>
      <c r="J66" t="str">
        <f t="shared" si="3"/>
        <v>2013-04-30 15:00,0</v>
      </c>
      <c r="K66" t="str">
        <f t="shared" si="4"/>
        <v>2013-04-30 15:00,33,22,0</v>
      </c>
      <c r="L66" t="str">
        <f t="shared" si="5"/>
        <v>2013-04-30 15:00,33,27.38,0</v>
      </c>
    </row>
    <row r="67" spans="3:12" x14ac:dyDescent="0.35">
      <c r="C67">
        <f t="shared" si="6"/>
        <v>64</v>
      </c>
      <c r="D67" s="1">
        <f t="shared" si="7"/>
        <v>41394.666666666511</v>
      </c>
      <c r="E67" s="3">
        <f t="shared" si="0"/>
        <v>31.339745962155618</v>
      </c>
      <c r="F67" s="3">
        <f t="shared" si="1"/>
        <v>15.358983848622465</v>
      </c>
      <c r="G67" s="4">
        <f t="shared" si="2"/>
        <v>26.901923788646684</v>
      </c>
      <c r="H67" s="2">
        <v>0</v>
      </c>
      <c r="J67" t="str">
        <f t="shared" si="3"/>
        <v>2013-04-30 16:00,0</v>
      </c>
      <c r="K67" t="str">
        <f t="shared" si="4"/>
        <v>2013-04-30 16:00,31,15,0</v>
      </c>
      <c r="L67" t="str">
        <f t="shared" si="5"/>
        <v>2013-04-30 16:00,31,26.9,0</v>
      </c>
    </row>
    <row r="68" spans="3:12" x14ac:dyDescent="0.35">
      <c r="C68">
        <f t="shared" si="6"/>
        <v>65</v>
      </c>
      <c r="D68" s="1">
        <f t="shared" si="7"/>
        <v>41394.708333333176</v>
      </c>
      <c r="E68" s="3">
        <f t="shared" si="0"/>
        <v>30.340741737109319</v>
      </c>
      <c r="F68" s="3">
        <f t="shared" si="1"/>
        <v>11.362966948437268</v>
      </c>
      <c r="G68" s="4">
        <f t="shared" si="2"/>
        <v>26.602222521132795</v>
      </c>
      <c r="H68" s="2">
        <v>0</v>
      </c>
      <c r="J68" t="str">
        <f t="shared" si="3"/>
        <v>2013-04-30 17:00,0</v>
      </c>
      <c r="K68" t="str">
        <f t="shared" si="4"/>
        <v>2013-04-30 17:00,30,11,0</v>
      </c>
      <c r="L68" t="str">
        <f t="shared" si="5"/>
        <v>2013-04-30 17:00,30,26.6,0</v>
      </c>
    </row>
    <row r="69" spans="3:12" x14ac:dyDescent="0.35">
      <c r="C69">
        <f t="shared" si="6"/>
        <v>66</v>
      </c>
      <c r="D69" s="1">
        <f t="shared" si="7"/>
        <v>41394.74999999984</v>
      </c>
      <c r="E69" s="3">
        <f t="shared" ref="E69:E132" si="8">40+10*SIN(RADIANS(360*HOUR(D69)/24))</f>
        <v>30</v>
      </c>
      <c r="F69" s="3">
        <f t="shared" ref="F69:F132" si="9">50+40*SIN(RADIANS(360*HOUR(D69)/24))</f>
        <v>10</v>
      </c>
      <c r="G69" s="4">
        <f t="shared" ref="G69:G132" si="10">29.5+3*SIN(RADIANS(360*HOUR(D69)/24))</f>
        <v>26.5</v>
      </c>
      <c r="H69" s="2">
        <v>0</v>
      </c>
      <c r="J69" t="str">
        <f t="shared" ref="J69:J132" si="11">TEXT(D69,"yyyy-mm-dd hh:mm")  &amp; "," &amp; H69</f>
        <v>2013-04-30 18:00,0</v>
      </c>
      <c r="K69" t="str">
        <f t="shared" ref="K69:K132" si="12">TEXT(D69,"yyyy-mm-dd hh:mm") &amp; "," &amp; TEXT(E69,"##") &amp;  "," &amp; TEXT(F69,"##") &amp; "," &amp; H69</f>
        <v>2013-04-30 18:00,30,10,0</v>
      </c>
      <c r="L69" t="str">
        <f t="shared" ref="L69:L132" si="13">TEXT(D69,"yyyy-mm-dd hh:mm") &amp; "," &amp; TEXT(E69,"##") &amp;  "," &amp; TEXT(G69,"##.##") &amp; "," &amp; H69</f>
        <v>2013-04-30 18:00,30,26.5,0</v>
      </c>
    </row>
    <row r="70" spans="3:12" x14ac:dyDescent="0.35">
      <c r="C70">
        <f t="shared" ref="C70:C133" si="14">C69+1</f>
        <v>67</v>
      </c>
      <c r="D70" s="1">
        <f t="shared" ref="D70:D133" si="15">D69+TIME(1,0,0)</f>
        <v>41394.791666666504</v>
      </c>
      <c r="E70" s="3">
        <f t="shared" si="8"/>
        <v>30.340741737109315</v>
      </c>
      <c r="F70" s="3">
        <f t="shared" si="9"/>
        <v>11.362966948437261</v>
      </c>
      <c r="G70" s="4">
        <f t="shared" si="10"/>
        <v>26.602222521132795</v>
      </c>
      <c r="H70" s="2">
        <v>0</v>
      </c>
      <c r="J70" t="str">
        <f t="shared" si="11"/>
        <v>2013-04-30 19:00,0</v>
      </c>
      <c r="K70" t="str">
        <f t="shared" si="12"/>
        <v>2013-04-30 19:00,30,11,0</v>
      </c>
      <c r="L70" t="str">
        <f t="shared" si="13"/>
        <v>2013-04-30 19:00,30,26.6,0</v>
      </c>
    </row>
    <row r="71" spans="3:12" x14ac:dyDescent="0.35">
      <c r="C71">
        <f t="shared" si="14"/>
        <v>68</v>
      </c>
      <c r="D71" s="1">
        <f t="shared" si="15"/>
        <v>41394.833333333168</v>
      </c>
      <c r="E71" s="3">
        <f t="shared" si="8"/>
        <v>31.339745962155614</v>
      </c>
      <c r="F71" s="3">
        <f t="shared" si="9"/>
        <v>15.358983848622458</v>
      </c>
      <c r="G71" s="4">
        <f t="shared" si="10"/>
        <v>26.901923788646684</v>
      </c>
      <c r="H71" s="2">
        <v>0</v>
      </c>
      <c r="J71" t="str">
        <f t="shared" si="11"/>
        <v>2013-04-30 20:00,0</v>
      </c>
      <c r="K71" t="str">
        <f t="shared" si="12"/>
        <v>2013-04-30 20:00,31,15,0</v>
      </c>
      <c r="L71" t="str">
        <f t="shared" si="13"/>
        <v>2013-04-30 20:00,31,26.9,0</v>
      </c>
    </row>
    <row r="72" spans="3:12" x14ac:dyDescent="0.35">
      <c r="C72">
        <f t="shared" si="14"/>
        <v>69</v>
      </c>
      <c r="D72" s="1">
        <f t="shared" si="15"/>
        <v>41394.874999999833</v>
      </c>
      <c r="E72" s="3">
        <f t="shared" si="8"/>
        <v>32.928932188134524</v>
      </c>
      <c r="F72" s="3">
        <f t="shared" si="9"/>
        <v>21.715728752538091</v>
      </c>
      <c r="G72" s="4">
        <f t="shared" si="10"/>
        <v>27.378679656440358</v>
      </c>
      <c r="H72" s="2">
        <v>0</v>
      </c>
      <c r="J72" t="str">
        <f t="shared" si="11"/>
        <v>2013-04-30 21:00,0</v>
      </c>
      <c r="K72" t="str">
        <f t="shared" si="12"/>
        <v>2013-04-30 21:00,33,22,0</v>
      </c>
      <c r="L72" t="str">
        <f t="shared" si="13"/>
        <v>2013-04-30 21:00,33,27.38,0</v>
      </c>
    </row>
    <row r="73" spans="3:12" x14ac:dyDescent="0.35">
      <c r="C73">
        <f t="shared" si="14"/>
        <v>70</v>
      </c>
      <c r="D73" s="1">
        <f t="shared" si="15"/>
        <v>41394.916666666497</v>
      </c>
      <c r="E73" s="3">
        <f t="shared" si="8"/>
        <v>34.999999999999993</v>
      </c>
      <c r="F73" s="3">
        <f t="shared" si="9"/>
        <v>29.999999999999982</v>
      </c>
      <c r="G73" s="4">
        <f t="shared" si="10"/>
        <v>28</v>
      </c>
      <c r="H73" s="2">
        <v>0</v>
      </c>
      <c r="J73" t="str">
        <f t="shared" si="11"/>
        <v>2013-04-30 22:00,0</v>
      </c>
      <c r="K73" t="str">
        <f t="shared" si="12"/>
        <v>2013-04-30 22:00,35,30,0</v>
      </c>
      <c r="L73" t="str">
        <f t="shared" si="13"/>
        <v>2013-04-30 22:00,35,28.,0</v>
      </c>
    </row>
    <row r="74" spans="3:12" x14ac:dyDescent="0.35">
      <c r="C74">
        <f t="shared" si="14"/>
        <v>71</v>
      </c>
      <c r="D74" s="1">
        <f t="shared" si="15"/>
        <v>41394.958333333161</v>
      </c>
      <c r="E74" s="3">
        <f t="shared" si="8"/>
        <v>37.411809548974794</v>
      </c>
      <c r="F74" s="3">
        <f t="shared" si="9"/>
        <v>39.64723819589917</v>
      </c>
      <c r="G74" s="4">
        <f t="shared" si="10"/>
        <v>28.723542864692437</v>
      </c>
      <c r="H74" s="2">
        <v>0</v>
      </c>
      <c r="J74" t="str">
        <f t="shared" si="11"/>
        <v>2013-04-30 23:00,0</v>
      </c>
      <c r="K74" t="str">
        <f t="shared" si="12"/>
        <v>2013-04-30 23:00,37,40,0</v>
      </c>
      <c r="L74" t="str">
        <f t="shared" si="13"/>
        <v>2013-04-30 23:00,37,28.72,0</v>
      </c>
    </row>
    <row r="75" spans="3:12" x14ac:dyDescent="0.35">
      <c r="C75">
        <f t="shared" si="14"/>
        <v>72</v>
      </c>
      <c r="D75" s="1">
        <f t="shared" si="15"/>
        <v>41394.999999999825</v>
      </c>
      <c r="E75" s="3">
        <f t="shared" si="8"/>
        <v>40</v>
      </c>
      <c r="F75" s="3">
        <f t="shared" si="9"/>
        <v>50</v>
      </c>
      <c r="G75" s="4">
        <f t="shared" si="10"/>
        <v>29.5</v>
      </c>
      <c r="H75" s="2">
        <v>0</v>
      </c>
      <c r="J75" t="str">
        <f t="shared" si="11"/>
        <v>2013-05-01 00:00,0</v>
      </c>
      <c r="K75" t="str">
        <f t="shared" si="12"/>
        <v>2013-05-01 00:00,40,50,0</v>
      </c>
      <c r="L75" t="str">
        <f t="shared" si="13"/>
        <v>2013-05-01 00:00,40,29.5,0</v>
      </c>
    </row>
    <row r="76" spans="3:12" x14ac:dyDescent="0.35">
      <c r="C76">
        <f t="shared" si="14"/>
        <v>73</v>
      </c>
      <c r="D76" s="1">
        <f t="shared" si="15"/>
        <v>41395.04166666649</v>
      </c>
      <c r="E76" s="3">
        <f t="shared" si="8"/>
        <v>42.588190451025206</v>
      </c>
      <c r="F76" s="3">
        <f t="shared" si="9"/>
        <v>60.35276180410083</v>
      </c>
      <c r="G76" s="4">
        <f t="shared" si="10"/>
        <v>30.276457135307563</v>
      </c>
      <c r="H76" s="2">
        <v>0</v>
      </c>
      <c r="J76" t="str">
        <f t="shared" si="11"/>
        <v>2013-05-01 01:00,0</v>
      </c>
      <c r="K76" t="str">
        <f t="shared" si="12"/>
        <v>2013-05-01 01:00,43,60,0</v>
      </c>
      <c r="L76" t="str">
        <f t="shared" si="13"/>
        <v>2013-05-01 01:00,43,30.28,0</v>
      </c>
    </row>
    <row r="77" spans="3:12" x14ac:dyDescent="0.35">
      <c r="C77">
        <f t="shared" si="14"/>
        <v>74</v>
      </c>
      <c r="D77" s="1">
        <f t="shared" si="15"/>
        <v>41395.083333333154</v>
      </c>
      <c r="E77" s="3">
        <f t="shared" si="8"/>
        <v>45</v>
      </c>
      <c r="F77" s="3">
        <f t="shared" si="9"/>
        <v>70</v>
      </c>
      <c r="G77" s="4">
        <f t="shared" si="10"/>
        <v>31</v>
      </c>
      <c r="H77" s="2">
        <v>0</v>
      </c>
      <c r="J77" t="str">
        <f t="shared" si="11"/>
        <v>2013-05-01 02:00,0</v>
      </c>
      <c r="K77" t="str">
        <f t="shared" si="12"/>
        <v>2013-05-01 02:00,45,70,0</v>
      </c>
      <c r="L77" t="str">
        <f t="shared" si="13"/>
        <v>2013-05-01 02:00,45,31.,0</v>
      </c>
    </row>
    <row r="78" spans="3:12" x14ac:dyDescent="0.35">
      <c r="C78">
        <f t="shared" si="14"/>
        <v>75</v>
      </c>
      <c r="D78" s="1">
        <f t="shared" si="15"/>
        <v>41395.124999999818</v>
      </c>
      <c r="E78" s="3">
        <f t="shared" si="8"/>
        <v>47.071067811865476</v>
      </c>
      <c r="F78" s="3">
        <f t="shared" si="9"/>
        <v>78.284271247461902</v>
      </c>
      <c r="G78" s="4">
        <f t="shared" si="10"/>
        <v>31.621320343559642</v>
      </c>
      <c r="H78" s="2">
        <v>0</v>
      </c>
      <c r="J78" t="str">
        <f t="shared" si="11"/>
        <v>2013-05-01 03:00,0</v>
      </c>
      <c r="K78" t="str">
        <f t="shared" si="12"/>
        <v>2013-05-01 03:00,47,78,0</v>
      </c>
      <c r="L78" t="str">
        <f t="shared" si="13"/>
        <v>2013-05-01 03:00,47,31.62,0</v>
      </c>
    </row>
    <row r="79" spans="3:12" x14ac:dyDescent="0.35">
      <c r="C79">
        <f t="shared" si="14"/>
        <v>76</v>
      </c>
      <c r="D79" s="1">
        <f t="shared" si="15"/>
        <v>41395.166666666482</v>
      </c>
      <c r="E79" s="3">
        <f t="shared" si="8"/>
        <v>48.660254037844382</v>
      </c>
      <c r="F79" s="3">
        <f t="shared" si="9"/>
        <v>84.641016151377542</v>
      </c>
      <c r="G79" s="4">
        <f t="shared" si="10"/>
        <v>32.098076211353316</v>
      </c>
      <c r="H79" s="2">
        <v>0</v>
      </c>
      <c r="J79" t="str">
        <f t="shared" si="11"/>
        <v>2013-05-01 04:00,0</v>
      </c>
      <c r="K79" t="str">
        <f t="shared" si="12"/>
        <v>2013-05-01 04:00,49,85,0</v>
      </c>
      <c r="L79" t="str">
        <f t="shared" si="13"/>
        <v>2013-05-01 04:00,49,32.1,0</v>
      </c>
    </row>
    <row r="80" spans="3:12" x14ac:dyDescent="0.35">
      <c r="C80">
        <f t="shared" si="14"/>
        <v>77</v>
      </c>
      <c r="D80" s="1">
        <f t="shared" si="15"/>
        <v>41395.208333333147</v>
      </c>
      <c r="E80" s="3">
        <f t="shared" si="8"/>
        <v>49.659258262890681</v>
      </c>
      <c r="F80" s="3">
        <f t="shared" si="9"/>
        <v>88.637033051562724</v>
      </c>
      <c r="G80" s="4">
        <f t="shared" si="10"/>
        <v>32.397777478867205</v>
      </c>
      <c r="H80" s="2">
        <v>0</v>
      </c>
      <c r="J80" t="str">
        <f t="shared" si="11"/>
        <v>2013-05-01 05:00,0</v>
      </c>
      <c r="K80" t="str">
        <f t="shared" si="12"/>
        <v>2013-05-01 05:00,50,89,0</v>
      </c>
      <c r="L80" t="str">
        <f t="shared" si="13"/>
        <v>2013-05-01 05:00,50,32.4,0</v>
      </c>
    </row>
    <row r="81" spans="3:12" x14ac:dyDescent="0.35">
      <c r="C81">
        <f t="shared" si="14"/>
        <v>78</v>
      </c>
      <c r="D81" s="1">
        <f t="shared" si="15"/>
        <v>41395.249999999811</v>
      </c>
      <c r="E81" s="3">
        <f t="shared" si="8"/>
        <v>50</v>
      </c>
      <c r="F81" s="3">
        <f t="shared" si="9"/>
        <v>90</v>
      </c>
      <c r="G81" s="4">
        <f t="shared" si="10"/>
        <v>32.5</v>
      </c>
      <c r="H81" s="2">
        <v>0</v>
      </c>
      <c r="J81" t="str">
        <f t="shared" si="11"/>
        <v>2013-05-01 06:00,0</v>
      </c>
      <c r="K81" t="str">
        <f t="shared" si="12"/>
        <v>2013-05-01 06:00,50,90,0</v>
      </c>
      <c r="L81" t="str">
        <f t="shared" si="13"/>
        <v>2013-05-01 06:00,50,32.5,0</v>
      </c>
    </row>
    <row r="82" spans="3:12" x14ac:dyDescent="0.35">
      <c r="C82">
        <f t="shared" si="14"/>
        <v>79</v>
      </c>
      <c r="D82" s="1">
        <f t="shared" si="15"/>
        <v>41395.291666666475</v>
      </c>
      <c r="E82" s="3">
        <f t="shared" si="8"/>
        <v>49.659258262890681</v>
      </c>
      <c r="F82" s="3">
        <f t="shared" si="9"/>
        <v>88.637033051562724</v>
      </c>
      <c r="G82" s="4">
        <f t="shared" si="10"/>
        <v>32.397777478867205</v>
      </c>
      <c r="H82" s="2">
        <v>0</v>
      </c>
      <c r="J82" t="str">
        <f t="shared" si="11"/>
        <v>2013-05-01 07:00,0</v>
      </c>
      <c r="K82" t="str">
        <f t="shared" si="12"/>
        <v>2013-05-01 07:00,50,89,0</v>
      </c>
      <c r="L82" t="str">
        <f t="shared" si="13"/>
        <v>2013-05-01 07:00,50,32.4,0</v>
      </c>
    </row>
    <row r="83" spans="3:12" x14ac:dyDescent="0.35">
      <c r="C83">
        <f t="shared" si="14"/>
        <v>80</v>
      </c>
      <c r="D83" s="1">
        <f t="shared" si="15"/>
        <v>41395.333333333139</v>
      </c>
      <c r="E83" s="3">
        <f t="shared" si="8"/>
        <v>48.660254037844389</v>
      </c>
      <c r="F83" s="3">
        <f t="shared" si="9"/>
        <v>84.641016151377556</v>
      </c>
      <c r="G83" s="4">
        <f t="shared" si="10"/>
        <v>32.098076211353316</v>
      </c>
      <c r="H83" s="2">
        <v>0</v>
      </c>
      <c r="J83" t="str">
        <f t="shared" si="11"/>
        <v>2013-05-01 08:00,0</v>
      </c>
      <c r="K83" t="str">
        <f t="shared" si="12"/>
        <v>2013-05-01 08:00,49,85,0</v>
      </c>
      <c r="L83" t="str">
        <f t="shared" si="13"/>
        <v>2013-05-01 08:00,49,32.1,0</v>
      </c>
    </row>
    <row r="84" spans="3:12" x14ac:dyDescent="0.35">
      <c r="C84">
        <f t="shared" si="14"/>
        <v>81</v>
      </c>
      <c r="D84" s="1">
        <f t="shared" si="15"/>
        <v>41395.374999999804</v>
      </c>
      <c r="E84" s="3">
        <f t="shared" si="8"/>
        <v>47.071067811865476</v>
      </c>
      <c r="F84" s="3">
        <f t="shared" si="9"/>
        <v>78.284271247461902</v>
      </c>
      <c r="G84" s="4">
        <f t="shared" si="10"/>
        <v>31.621320343559642</v>
      </c>
      <c r="H84" s="2">
        <v>0</v>
      </c>
      <c r="J84" t="str">
        <f t="shared" si="11"/>
        <v>2013-05-01 09:00,0</v>
      </c>
      <c r="K84" t="str">
        <f t="shared" si="12"/>
        <v>2013-05-01 09:00,47,78,0</v>
      </c>
      <c r="L84" t="str">
        <f t="shared" si="13"/>
        <v>2013-05-01 09:00,47,31.62,0</v>
      </c>
    </row>
    <row r="85" spans="3:12" x14ac:dyDescent="0.35">
      <c r="C85">
        <f t="shared" si="14"/>
        <v>82</v>
      </c>
      <c r="D85" s="1">
        <f t="shared" si="15"/>
        <v>41395.416666666468</v>
      </c>
      <c r="E85" s="3">
        <f t="shared" si="8"/>
        <v>45</v>
      </c>
      <c r="F85" s="3">
        <f t="shared" si="9"/>
        <v>70</v>
      </c>
      <c r="G85" s="4">
        <f t="shared" si="10"/>
        <v>31</v>
      </c>
      <c r="H85" s="2">
        <v>0</v>
      </c>
      <c r="J85" t="str">
        <f t="shared" si="11"/>
        <v>2013-05-01 10:00,0</v>
      </c>
      <c r="K85" t="str">
        <f t="shared" si="12"/>
        <v>2013-05-01 10:00,45,70,0</v>
      </c>
      <c r="L85" t="str">
        <f t="shared" si="13"/>
        <v>2013-05-01 10:00,45,31.,0</v>
      </c>
    </row>
    <row r="86" spans="3:12" x14ac:dyDescent="0.35">
      <c r="C86">
        <f t="shared" si="14"/>
        <v>83</v>
      </c>
      <c r="D86" s="1">
        <f t="shared" si="15"/>
        <v>41395.458333333132</v>
      </c>
      <c r="E86" s="3">
        <f t="shared" si="8"/>
        <v>42.588190451025213</v>
      </c>
      <c r="F86" s="3">
        <f t="shared" si="9"/>
        <v>60.352761804100837</v>
      </c>
      <c r="G86" s="4">
        <f t="shared" si="10"/>
        <v>30.276457135307563</v>
      </c>
      <c r="H86" s="2">
        <v>0</v>
      </c>
      <c r="J86" t="str">
        <f t="shared" si="11"/>
        <v>2013-05-01 11:00,0</v>
      </c>
      <c r="K86" t="str">
        <f t="shared" si="12"/>
        <v>2013-05-01 11:00,43,60,0</v>
      </c>
      <c r="L86" t="str">
        <f t="shared" si="13"/>
        <v>2013-05-01 11:00,43,30.28,0</v>
      </c>
    </row>
    <row r="87" spans="3:12" x14ac:dyDescent="0.35">
      <c r="C87">
        <f t="shared" si="14"/>
        <v>84</v>
      </c>
      <c r="D87" s="1">
        <f t="shared" si="15"/>
        <v>41395.499999999796</v>
      </c>
      <c r="E87" s="3">
        <f t="shared" si="8"/>
        <v>40</v>
      </c>
      <c r="F87" s="3">
        <f t="shared" si="9"/>
        <v>50.000000000000007</v>
      </c>
      <c r="G87" s="4">
        <f t="shared" si="10"/>
        <v>29.5</v>
      </c>
      <c r="H87" s="2">
        <v>0</v>
      </c>
      <c r="J87" t="str">
        <f t="shared" si="11"/>
        <v>2013-05-01 12:00,0</v>
      </c>
      <c r="K87" t="str">
        <f t="shared" si="12"/>
        <v>2013-05-01 12:00,40,50,0</v>
      </c>
      <c r="L87" t="str">
        <f t="shared" si="13"/>
        <v>2013-05-01 12:00,40,29.5,0</v>
      </c>
    </row>
    <row r="88" spans="3:12" x14ac:dyDescent="0.35">
      <c r="C88">
        <f t="shared" si="14"/>
        <v>85</v>
      </c>
      <c r="D88" s="1">
        <f t="shared" si="15"/>
        <v>41395.541666666461</v>
      </c>
      <c r="E88" s="3">
        <f t="shared" si="8"/>
        <v>37.411809548974794</v>
      </c>
      <c r="F88" s="3">
        <f t="shared" si="9"/>
        <v>39.64723819589917</v>
      </c>
      <c r="G88" s="4">
        <f t="shared" si="10"/>
        <v>28.723542864692437</v>
      </c>
      <c r="H88" s="2">
        <v>0</v>
      </c>
      <c r="J88" t="str">
        <f t="shared" si="11"/>
        <v>2013-05-01 13:00,0</v>
      </c>
      <c r="K88" t="str">
        <f t="shared" si="12"/>
        <v>2013-05-01 13:00,37,40,0</v>
      </c>
      <c r="L88" t="str">
        <f t="shared" si="13"/>
        <v>2013-05-01 13:00,37,28.72,0</v>
      </c>
    </row>
    <row r="89" spans="3:12" x14ac:dyDescent="0.35">
      <c r="C89">
        <f t="shared" si="14"/>
        <v>86</v>
      </c>
      <c r="D89" s="1">
        <f t="shared" si="15"/>
        <v>41395.583333333125</v>
      </c>
      <c r="E89" s="3">
        <f t="shared" si="8"/>
        <v>35</v>
      </c>
      <c r="F89" s="3">
        <f t="shared" si="9"/>
        <v>29.999999999999996</v>
      </c>
      <c r="G89" s="4">
        <f t="shared" si="10"/>
        <v>28</v>
      </c>
      <c r="H89" s="2">
        <v>0</v>
      </c>
      <c r="J89" t="str">
        <f t="shared" si="11"/>
        <v>2013-05-01 14:00,0</v>
      </c>
      <c r="K89" t="str">
        <f t="shared" si="12"/>
        <v>2013-05-01 14:00,35,30,0</v>
      </c>
      <c r="L89" t="str">
        <f t="shared" si="13"/>
        <v>2013-05-01 14:00,35,28.,0</v>
      </c>
    </row>
    <row r="90" spans="3:12" x14ac:dyDescent="0.35">
      <c r="C90">
        <f t="shared" si="14"/>
        <v>87</v>
      </c>
      <c r="D90" s="1">
        <f t="shared" si="15"/>
        <v>41395.624999999789</v>
      </c>
      <c r="E90" s="3">
        <f t="shared" si="8"/>
        <v>32.928932188134524</v>
      </c>
      <c r="F90" s="3">
        <f t="shared" si="9"/>
        <v>21.715728752538102</v>
      </c>
      <c r="G90" s="4">
        <f t="shared" si="10"/>
        <v>27.378679656440358</v>
      </c>
      <c r="H90" s="2">
        <v>0</v>
      </c>
      <c r="J90" t="str">
        <f t="shared" si="11"/>
        <v>2013-05-01 15:00,0</v>
      </c>
      <c r="K90" t="str">
        <f t="shared" si="12"/>
        <v>2013-05-01 15:00,33,22,0</v>
      </c>
      <c r="L90" t="str">
        <f t="shared" si="13"/>
        <v>2013-05-01 15:00,33,27.38,0</v>
      </c>
    </row>
    <row r="91" spans="3:12" x14ac:dyDescent="0.35">
      <c r="C91">
        <f t="shared" si="14"/>
        <v>88</v>
      </c>
      <c r="D91" s="1">
        <f t="shared" si="15"/>
        <v>41395.666666666453</v>
      </c>
      <c r="E91" s="3">
        <f t="shared" si="8"/>
        <v>31.339745962155618</v>
      </c>
      <c r="F91" s="3">
        <f t="shared" si="9"/>
        <v>15.358983848622465</v>
      </c>
      <c r="G91" s="4">
        <f t="shared" si="10"/>
        <v>26.901923788646684</v>
      </c>
      <c r="H91" s="2">
        <v>0</v>
      </c>
      <c r="J91" t="str">
        <f t="shared" si="11"/>
        <v>2013-05-01 16:00,0</v>
      </c>
      <c r="K91" t="str">
        <f t="shared" si="12"/>
        <v>2013-05-01 16:00,31,15,0</v>
      </c>
      <c r="L91" t="str">
        <f t="shared" si="13"/>
        <v>2013-05-01 16:00,31,26.9,0</v>
      </c>
    </row>
    <row r="92" spans="3:12" x14ac:dyDescent="0.35">
      <c r="C92">
        <f t="shared" si="14"/>
        <v>89</v>
      </c>
      <c r="D92" s="1">
        <f t="shared" si="15"/>
        <v>41395.708333333117</v>
      </c>
      <c r="E92" s="3">
        <f t="shared" si="8"/>
        <v>30.340741737109319</v>
      </c>
      <c r="F92" s="3">
        <f t="shared" si="9"/>
        <v>11.362966948437268</v>
      </c>
      <c r="G92" s="4">
        <f t="shared" si="10"/>
        <v>26.602222521132795</v>
      </c>
      <c r="H92" s="2">
        <v>0</v>
      </c>
      <c r="J92" t="str">
        <f t="shared" si="11"/>
        <v>2013-05-01 17:00,0</v>
      </c>
      <c r="K92" t="str">
        <f t="shared" si="12"/>
        <v>2013-05-01 17:00,30,11,0</v>
      </c>
      <c r="L92" t="str">
        <f t="shared" si="13"/>
        <v>2013-05-01 17:00,30,26.6,0</v>
      </c>
    </row>
    <row r="93" spans="3:12" x14ac:dyDescent="0.35">
      <c r="C93">
        <f t="shared" si="14"/>
        <v>90</v>
      </c>
      <c r="D93" s="1">
        <f t="shared" si="15"/>
        <v>41395.749999999782</v>
      </c>
      <c r="E93" s="3">
        <f t="shared" si="8"/>
        <v>30</v>
      </c>
      <c r="F93" s="3">
        <f t="shared" si="9"/>
        <v>10</v>
      </c>
      <c r="G93" s="4">
        <f t="shared" si="10"/>
        <v>26.5</v>
      </c>
      <c r="H93" s="2">
        <v>0</v>
      </c>
      <c r="J93" t="str">
        <f t="shared" si="11"/>
        <v>2013-05-01 18:00,0</v>
      </c>
      <c r="K93" t="str">
        <f t="shared" si="12"/>
        <v>2013-05-01 18:00,30,10,0</v>
      </c>
      <c r="L93" t="str">
        <f t="shared" si="13"/>
        <v>2013-05-01 18:00,30,26.5,0</v>
      </c>
    </row>
    <row r="94" spans="3:12" x14ac:dyDescent="0.35">
      <c r="C94">
        <f t="shared" si="14"/>
        <v>91</v>
      </c>
      <c r="D94" s="1">
        <f t="shared" si="15"/>
        <v>41395.791666666446</v>
      </c>
      <c r="E94" s="3">
        <f t="shared" si="8"/>
        <v>30.340741737109315</v>
      </c>
      <c r="F94" s="3">
        <f t="shared" si="9"/>
        <v>11.362966948437261</v>
      </c>
      <c r="G94" s="4">
        <f t="shared" si="10"/>
        <v>26.602222521132795</v>
      </c>
      <c r="H94" s="2">
        <v>0</v>
      </c>
      <c r="J94" t="str">
        <f t="shared" si="11"/>
        <v>2013-05-01 19:00,0</v>
      </c>
      <c r="K94" t="str">
        <f t="shared" si="12"/>
        <v>2013-05-01 19:00,30,11,0</v>
      </c>
      <c r="L94" t="str">
        <f t="shared" si="13"/>
        <v>2013-05-01 19:00,30,26.6,0</v>
      </c>
    </row>
    <row r="95" spans="3:12" x14ac:dyDescent="0.35">
      <c r="C95">
        <f t="shared" si="14"/>
        <v>92</v>
      </c>
      <c r="D95" s="1">
        <f t="shared" si="15"/>
        <v>41395.83333333311</v>
      </c>
      <c r="E95" s="3">
        <f t="shared" si="8"/>
        <v>31.339745962155614</v>
      </c>
      <c r="F95" s="3">
        <f t="shared" si="9"/>
        <v>15.358983848622458</v>
      </c>
      <c r="G95" s="4">
        <f t="shared" si="10"/>
        <v>26.901923788646684</v>
      </c>
      <c r="H95" s="2">
        <v>0</v>
      </c>
      <c r="J95" t="str">
        <f t="shared" si="11"/>
        <v>2013-05-01 20:00,0</v>
      </c>
      <c r="K95" t="str">
        <f t="shared" si="12"/>
        <v>2013-05-01 20:00,31,15,0</v>
      </c>
      <c r="L95" t="str">
        <f t="shared" si="13"/>
        <v>2013-05-01 20:00,31,26.9,0</v>
      </c>
    </row>
    <row r="96" spans="3:12" x14ac:dyDescent="0.35">
      <c r="C96">
        <f t="shared" si="14"/>
        <v>93</v>
      </c>
      <c r="D96" s="1">
        <f t="shared" si="15"/>
        <v>41395.874999999774</v>
      </c>
      <c r="E96" s="3">
        <f t="shared" si="8"/>
        <v>32.928932188134524</v>
      </c>
      <c r="F96" s="3">
        <f t="shared" si="9"/>
        <v>21.715728752538091</v>
      </c>
      <c r="G96" s="4">
        <f t="shared" si="10"/>
        <v>27.378679656440358</v>
      </c>
      <c r="H96" s="2">
        <v>0</v>
      </c>
      <c r="J96" t="str">
        <f t="shared" si="11"/>
        <v>2013-05-01 21:00,0</v>
      </c>
      <c r="K96" t="str">
        <f t="shared" si="12"/>
        <v>2013-05-01 21:00,33,22,0</v>
      </c>
      <c r="L96" t="str">
        <f t="shared" si="13"/>
        <v>2013-05-01 21:00,33,27.38,0</v>
      </c>
    </row>
    <row r="97" spans="3:12" x14ac:dyDescent="0.35">
      <c r="C97">
        <f t="shared" si="14"/>
        <v>94</v>
      </c>
      <c r="D97" s="1">
        <f t="shared" si="15"/>
        <v>41395.916666666439</v>
      </c>
      <c r="E97" s="3">
        <f t="shared" si="8"/>
        <v>34.999999999999993</v>
      </c>
      <c r="F97" s="3">
        <f t="shared" si="9"/>
        <v>29.999999999999982</v>
      </c>
      <c r="G97" s="4">
        <f t="shared" si="10"/>
        <v>28</v>
      </c>
      <c r="H97" s="2">
        <v>0</v>
      </c>
      <c r="J97" t="str">
        <f t="shared" si="11"/>
        <v>2013-05-01 22:00,0</v>
      </c>
      <c r="K97" t="str">
        <f t="shared" si="12"/>
        <v>2013-05-01 22:00,35,30,0</v>
      </c>
      <c r="L97" t="str">
        <f t="shared" si="13"/>
        <v>2013-05-01 22:00,35,28.,0</v>
      </c>
    </row>
    <row r="98" spans="3:12" x14ac:dyDescent="0.35">
      <c r="C98">
        <f t="shared" si="14"/>
        <v>95</v>
      </c>
      <c r="D98" s="1">
        <f t="shared" si="15"/>
        <v>41395.958333333103</v>
      </c>
      <c r="E98" s="3">
        <f t="shared" si="8"/>
        <v>37.411809548974794</v>
      </c>
      <c r="F98" s="3">
        <f t="shared" si="9"/>
        <v>39.64723819589917</v>
      </c>
      <c r="G98" s="4">
        <f t="shared" si="10"/>
        <v>28.723542864692437</v>
      </c>
      <c r="H98" s="2">
        <v>0</v>
      </c>
      <c r="J98" t="str">
        <f t="shared" si="11"/>
        <v>2013-05-01 23:00,0</v>
      </c>
      <c r="K98" t="str">
        <f t="shared" si="12"/>
        <v>2013-05-01 23:00,37,40,0</v>
      </c>
      <c r="L98" t="str">
        <f t="shared" si="13"/>
        <v>2013-05-01 23:00,37,28.72,0</v>
      </c>
    </row>
    <row r="99" spans="3:12" x14ac:dyDescent="0.35">
      <c r="C99">
        <f t="shared" si="14"/>
        <v>96</v>
      </c>
      <c r="D99" s="1">
        <f t="shared" si="15"/>
        <v>41395.999999999767</v>
      </c>
      <c r="E99" s="3">
        <f t="shared" si="8"/>
        <v>40</v>
      </c>
      <c r="F99" s="3">
        <f t="shared" si="9"/>
        <v>50</v>
      </c>
      <c r="G99" s="4">
        <f t="shared" si="10"/>
        <v>29.5</v>
      </c>
      <c r="H99" s="2">
        <v>0</v>
      </c>
      <c r="J99" t="str">
        <f t="shared" si="11"/>
        <v>2013-05-02 00:00,0</v>
      </c>
      <c r="K99" t="str">
        <f t="shared" si="12"/>
        <v>2013-05-02 00:00,40,50,0</v>
      </c>
      <c r="L99" t="str">
        <f t="shared" si="13"/>
        <v>2013-05-02 00:00,40,29.5,0</v>
      </c>
    </row>
    <row r="100" spans="3:12" x14ac:dyDescent="0.35">
      <c r="C100">
        <f t="shared" si="14"/>
        <v>97</v>
      </c>
      <c r="D100" s="1">
        <f t="shared" si="15"/>
        <v>41396.041666666431</v>
      </c>
      <c r="E100" s="3">
        <f t="shared" si="8"/>
        <v>42.588190451025206</v>
      </c>
      <c r="F100" s="3">
        <f t="shared" si="9"/>
        <v>60.35276180410083</v>
      </c>
      <c r="G100" s="4">
        <f t="shared" si="10"/>
        <v>30.276457135307563</v>
      </c>
      <c r="H100" s="2">
        <v>0</v>
      </c>
      <c r="J100" t="str">
        <f t="shared" si="11"/>
        <v>2013-05-02 01:00,0</v>
      </c>
      <c r="K100" t="str">
        <f t="shared" si="12"/>
        <v>2013-05-02 01:00,43,60,0</v>
      </c>
      <c r="L100" t="str">
        <f t="shared" si="13"/>
        <v>2013-05-02 01:00,43,30.28,0</v>
      </c>
    </row>
    <row r="101" spans="3:12" x14ac:dyDescent="0.35">
      <c r="C101">
        <f t="shared" si="14"/>
        <v>98</v>
      </c>
      <c r="D101" s="1">
        <f t="shared" si="15"/>
        <v>41396.083333333096</v>
      </c>
      <c r="E101" s="3">
        <f t="shared" si="8"/>
        <v>45</v>
      </c>
      <c r="F101" s="3">
        <f t="shared" si="9"/>
        <v>70</v>
      </c>
      <c r="G101" s="4">
        <f t="shared" si="10"/>
        <v>31</v>
      </c>
      <c r="H101" s="2">
        <v>0</v>
      </c>
      <c r="J101" t="str">
        <f t="shared" si="11"/>
        <v>2013-05-02 02:00,0</v>
      </c>
      <c r="K101" t="str">
        <f t="shared" si="12"/>
        <v>2013-05-02 02:00,45,70,0</v>
      </c>
      <c r="L101" t="str">
        <f t="shared" si="13"/>
        <v>2013-05-02 02:00,45,31.,0</v>
      </c>
    </row>
    <row r="102" spans="3:12" x14ac:dyDescent="0.35">
      <c r="C102">
        <f t="shared" si="14"/>
        <v>99</v>
      </c>
      <c r="D102" s="1">
        <f t="shared" si="15"/>
        <v>41396.12499999976</v>
      </c>
      <c r="E102" s="3">
        <f t="shared" si="8"/>
        <v>47.071067811865476</v>
      </c>
      <c r="F102" s="3">
        <f t="shared" si="9"/>
        <v>78.284271247461902</v>
      </c>
      <c r="G102" s="4">
        <f t="shared" si="10"/>
        <v>31.621320343559642</v>
      </c>
      <c r="H102" s="2">
        <v>0</v>
      </c>
      <c r="J102" t="str">
        <f t="shared" si="11"/>
        <v>2013-05-02 03:00,0</v>
      </c>
      <c r="K102" t="str">
        <f t="shared" si="12"/>
        <v>2013-05-02 03:00,47,78,0</v>
      </c>
      <c r="L102" t="str">
        <f t="shared" si="13"/>
        <v>2013-05-02 03:00,47,31.62,0</v>
      </c>
    </row>
    <row r="103" spans="3:12" x14ac:dyDescent="0.35">
      <c r="C103">
        <f t="shared" si="14"/>
        <v>100</v>
      </c>
      <c r="D103" s="1">
        <f t="shared" si="15"/>
        <v>41396.166666666424</v>
      </c>
      <c r="E103" s="3">
        <f t="shared" si="8"/>
        <v>48.660254037844382</v>
      </c>
      <c r="F103" s="3">
        <f t="shared" si="9"/>
        <v>84.641016151377542</v>
      </c>
      <c r="G103" s="4">
        <f t="shared" si="10"/>
        <v>32.098076211353316</v>
      </c>
      <c r="H103" s="2">
        <v>0</v>
      </c>
      <c r="J103" t="str">
        <f t="shared" si="11"/>
        <v>2013-05-02 04:00,0</v>
      </c>
      <c r="K103" t="str">
        <f t="shared" si="12"/>
        <v>2013-05-02 04:00,49,85,0</v>
      </c>
      <c r="L103" t="str">
        <f t="shared" si="13"/>
        <v>2013-05-02 04:00,49,32.1,0</v>
      </c>
    </row>
    <row r="104" spans="3:12" x14ac:dyDescent="0.35">
      <c r="C104">
        <f t="shared" si="14"/>
        <v>101</v>
      </c>
      <c r="D104" s="1">
        <f t="shared" si="15"/>
        <v>41396.208333333088</v>
      </c>
      <c r="E104" s="3">
        <f t="shared" si="8"/>
        <v>49.659258262890681</v>
      </c>
      <c r="F104" s="3">
        <f t="shared" si="9"/>
        <v>88.637033051562724</v>
      </c>
      <c r="G104" s="4">
        <f t="shared" si="10"/>
        <v>32.397777478867205</v>
      </c>
      <c r="H104" s="2">
        <v>0</v>
      </c>
      <c r="J104" t="str">
        <f t="shared" si="11"/>
        <v>2013-05-02 05:00,0</v>
      </c>
      <c r="K104" t="str">
        <f t="shared" si="12"/>
        <v>2013-05-02 05:00,50,89,0</v>
      </c>
      <c r="L104" t="str">
        <f t="shared" si="13"/>
        <v>2013-05-02 05:00,50,32.4,0</v>
      </c>
    </row>
    <row r="105" spans="3:12" x14ac:dyDescent="0.35">
      <c r="C105">
        <f t="shared" si="14"/>
        <v>102</v>
      </c>
      <c r="D105" s="1">
        <f t="shared" si="15"/>
        <v>41396.249999999753</v>
      </c>
      <c r="E105" s="3">
        <f t="shared" si="8"/>
        <v>50</v>
      </c>
      <c r="F105" s="3">
        <f t="shared" si="9"/>
        <v>90</v>
      </c>
      <c r="G105" s="4">
        <f t="shared" si="10"/>
        <v>32.5</v>
      </c>
      <c r="H105" s="2">
        <v>0</v>
      </c>
      <c r="J105" t="str">
        <f t="shared" si="11"/>
        <v>2013-05-02 06:00,0</v>
      </c>
      <c r="K105" t="str">
        <f t="shared" si="12"/>
        <v>2013-05-02 06:00,50,90,0</v>
      </c>
      <c r="L105" t="str">
        <f t="shared" si="13"/>
        <v>2013-05-02 06:00,50,32.5,0</v>
      </c>
    </row>
    <row r="106" spans="3:12" x14ac:dyDescent="0.35">
      <c r="C106">
        <f t="shared" si="14"/>
        <v>103</v>
      </c>
      <c r="D106" s="1">
        <f t="shared" si="15"/>
        <v>41396.291666666417</v>
      </c>
      <c r="E106" s="3">
        <f t="shared" si="8"/>
        <v>49.659258262890681</v>
      </c>
      <c r="F106" s="3">
        <f t="shared" si="9"/>
        <v>88.637033051562724</v>
      </c>
      <c r="G106" s="4">
        <f t="shared" si="10"/>
        <v>32.397777478867205</v>
      </c>
      <c r="H106" s="2">
        <v>0</v>
      </c>
      <c r="J106" t="str">
        <f t="shared" si="11"/>
        <v>2013-05-02 07:00,0</v>
      </c>
      <c r="K106" t="str">
        <f t="shared" si="12"/>
        <v>2013-05-02 07:00,50,89,0</v>
      </c>
      <c r="L106" t="str">
        <f t="shared" si="13"/>
        <v>2013-05-02 07:00,50,32.4,0</v>
      </c>
    </row>
    <row r="107" spans="3:12" x14ac:dyDescent="0.35">
      <c r="C107">
        <f t="shared" si="14"/>
        <v>104</v>
      </c>
      <c r="D107" s="1">
        <f t="shared" si="15"/>
        <v>41396.333333333081</v>
      </c>
      <c r="E107" s="3">
        <f t="shared" si="8"/>
        <v>48.660254037844389</v>
      </c>
      <c r="F107" s="3">
        <f t="shared" si="9"/>
        <v>84.641016151377556</v>
      </c>
      <c r="G107" s="4">
        <f t="shared" si="10"/>
        <v>32.098076211353316</v>
      </c>
      <c r="H107" s="2">
        <v>0</v>
      </c>
      <c r="J107" t="str">
        <f t="shared" si="11"/>
        <v>2013-05-02 08:00,0</v>
      </c>
      <c r="K107" t="str">
        <f t="shared" si="12"/>
        <v>2013-05-02 08:00,49,85,0</v>
      </c>
      <c r="L107" t="str">
        <f t="shared" si="13"/>
        <v>2013-05-02 08:00,49,32.1,0</v>
      </c>
    </row>
    <row r="108" spans="3:12" x14ac:dyDescent="0.35">
      <c r="C108">
        <f t="shared" si="14"/>
        <v>105</v>
      </c>
      <c r="D108" s="1">
        <f t="shared" si="15"/>
        <v>41396.374999999745</v>
      </c>
      <c r="E108" s="3">
        <f t="shared" si="8"/>
        <v>47.071067811865476</v>
      </c>
      <c r="F108" s="3">
        <f t="shared" si="9"/>
        <v>78.284271247461902</v>
      </c>
      <c r="G108" s="4">
        <f t="shared" si="10"/>
        <v>31.621320343559642</v>
      </c>
      <c r="H108" s="2">
        <v>0</v>
      </c>
      <c r="J108" t="str">
        <f t="shared" si="11"/>
        <v>2013-05-02 09:00,0</v>
      </c>
      <c r="K108" t="str">
        <f t="shared" si="12"/>
        <v>2013-05-02 09:00,47,78,0</v>
      </c>
      <c r="L108" t="str">
        <f t="shared" si="13"/>
        <v>2013-05-02 09:00,47,31.62,0</v>
      </c>
    </row>
    <row r="109" spans="3:12" x14ac:dyDescent="0.35">
      <c r="C109">
        <f t="shared" si="14"/>
        <v>106</v>
      </c>
      <c r="D109" s="1">
        <f t="shared" si="15"/>
        <v>41396.41666666641</v>
      </c>
      <c r="E109" s="3">
        <f t="shared" si="8"/>
        <v>45</v>
      </c>
      <c r="F109" s="3">
        <f t="shared" si="9"/>
        <v>70</v>
      </c>
      <c r="G109" s="4">
        <f t="shared" si="10"/>
        <v>31</v>
      </c>
      <c r="H109" s="2">
        <v>0</v>
      </c>
      <c r="J109" t="str">
        <f t="shared" si="11"/>
        <v>2013-05-02 10:00,0</v>
      </c>
      <c r="K109" t="str">
        <f t="shared" si="12"/>
        <v>2013-05-02 10:00,45,70,0</v>
      </c>
      <c r="L109" t="str">
        <f t="shared" si="13"/>
        <v>2013-05-02 10:00,45,31.,0</v>
      </c>
    </row>
    <row r="110" spans="3:12" x14ac:dyDescent="0.35">
      <c r="C110">
        <f t="shared" si="14"/>
        <v>107</v>
      </c>
      <c r="D110" s="1">
        <f t="shared" si="15"/>
        <v>41396.458333333074</v>
      </c>
      <c r="E110" s="3">
        <f t="shared" si="8"/>
        <v>42.588190451025213</v>
      </c>
      <c r="F110" s="3">
        <f t="shared" si="9"/>
        <v>60.352761804100837</v>
      </c>
      <c r="G110" s="4">
        <f t="shared" si="10"/>
        <v>30.276457135307563</v>
      </c>
      <c r="H110" s="2">
        <v>0</v>
      </c>
      <c r="J110" t="str">
        <f t="shared" si="11"/>
        <v>2013-05-02 11:00,0</v>
      </c>
      <c r="K110" t="str">
        <f t="shared" si="12"/>
        <v>2013-05-02 11:00,43,60,0</v>
      </c>
      <c r="L110" t="str">
        <f t="shared" si="13"/>
        <v>2013-05-02 11:00,43,30.28,0</v>
      </c>
    </row>
    <row r="111" spans="3:12" x14ac:dyDescent="0.35">
      <c r="C111">
        <f t="shared" si="14"/>
        <v>108</v>
      </c>
      <c r="D111" s="1">
        <f t="shared" si="15"/>
        <v>41396.499999999738</v>
      </c>
      <c r="E111" s="3">
        <f t="shared" si="8"/>
        <v>40</v>
      </c>
      <c r="F111" s="3">
        <f t="shared" si="9"/>
        <v>50.000000000000007</v>
      </c>
      <c r="G111" s="4">
        <f t="shared" si="10"/>
        <v>29.5</v>
      </c>
      <c r="H111" s="2">
        <v>0</v>
      </c>
      <c r="J111" t="str">
        <f t="shared" si="11"/>
        <v>2013-05-02 12:00,0</v>
      </c>
      <c r="K111" t="str">
        <f t="shared" si="12"/>
        <v>2013-05-02 12:00,40,50,0</v>
      </c>
      <c r="L111" t="str">
        <f t="shared" si="13"/>
        <v>2013-05-02 12:00,40,29.5,0</v>
      </c>
    </row>
    <row r="112" spans="3:12" x14ac:dyDescent="0.35">
      <c r="C112">
        <f t="shared" si="14"/>
        <v>109</v>
      </c>
      <c r="D112" s="1">
        <f t="shared" si="15"/>
        <v>41396.541666666402</v>
      </c>
      <c r="E112" s="3">
        <f t="shared" si="8"/>
        <v>37.411809548974794</v>
      </c>
      <c r="F112" s="3">
        <f t="shared" si="9"/>
        <v>39.64723819589917</v>
      </c>
      <c r="G112" s="4">
        <f t="shared" si="10"/>
        <v>28.723542864692437</v>
      </c>
      <c r="H112" s="2">
        <v>0</v>
      </c>
      <c r="J112" t="str">
        <f t="shared" si="11"/>
        <v>2013-05-02 13:00,0</v>
      </c>
      <c r="K112" t="str">
        <f t="shared" si="12"/>
        <v>2013-05-02 13:00,37,40,0</v>
      </c>
      <c r="L112" t="str">
        <f t="shared" si="13"/>
        <v>2013-05-02 13:00,37,28.72,0</v>
      </c>
    </row>
    <row r="113" spans="3:12" x14ac:dyDescent="0.35">
      <c r="C113">
        <f t="shared" si="14"/>
        <v>110</v>
      </c>
      <c r="D113" s="1">
        <f t="shared" si="15"/>
        <v>41396.583333333067</v>
      </c>
      <c r="E113" s="3">
        <f t="shared" si="8"/>
        <v>35</v>
      </c>
      <c r="F113" s="3">
        <f t="shared" si="9"/>
        <v>29.999999999999996</v>
      </c>
      <c r="G113" s="4">
        <f t="shared" si="10"/>
        <v>28</v>
      </c>
      <c r="H113" s="2">
        <v>0</v>
      </c>
      <c r="J113" t="str">
        <f t="shared" si="11"/>
        <v>2013-05-02 14:00,0</v>
      </c>
      <c r="K113" t="str">
        <f t="shared" si="12"/>
        <v>2013-05-02 14:00,35,30,0</v>
      </c>
      <c r="L113" t="str">
        <f t="shared" si="13"/>
        <v>2013-05-02 14:00,35,28.,0</v>
      </c>
    </row>
    <row r="114" spans="3:12" x14ac:dyDescent="0.35">
      <c r="C114">
        <f t="shared" si="14"/>
        <v>111</v>
      </c>
      <c r="D114" s="1">
        <f t="shared" si="15"/>
        <v>41396.624999999731</v>
      </c>
      <c r="E114" s="3">
        <f t="shared" si="8"/>
        <v>32.928932188134524</v>
      </c>
      <c r="F114" s="3">
        <f t="shared" si="9"/>
        <v>21.715728752538102</v>
      </c>
      <c r="G114" s="4">
        <f t="shared" si="10"/>
        <v>27.378679656440358</v>
      </c>
      <c r="H114" s="2">
        <v>0</v>
      </c>
      <c r="J114" t="str">
        <f t="shared" si="11"/>
        <v>2013-05-02 15:00,0</v>
      </c>
      <c r="K114" t="str">
        <f t="shared" si="12"/>
        <v>2013-05-02 15:00,33,22,0</v>
      </c>
      <c r="L114" t="str">
        <f t="shared" si="13"/>
        <v>2013-05-02 15:00,33,27.38,0</v>
      </c>
    </row>
    <row r="115" spans="3:12" x14ac:dyDescent="0.35">
      <c r="C115">
        <f t="shared" si="14"/>
        <v>112</v>
      </c>
      <c r="D115" s="1">
        <f t="shared" si="15"/>
        <v>41396.666666666395</v>
      </c>
      <c r="E115" s="3">
        <f t="shared" si="8"/>
        <v>31.339745962155618</v>
      </c>
      <c r="F115" s="3">
        <f t="shared" si="9"/>
        <v>15.358983848622465</v>
      </c>
      <c r="G115" s="4">
        <f t="shared" si="10"/>
        <v>26.901923788646684</v>
      </c>
      <c r="H115" s="2">
        <v>0</v>
      </c>
      <c r="J115" t="str">
        <f t="shared" si="11"/>
        <v>2013-05-02 16:00,0</v>
      </c>
      <c r="K115" t="str">
        <f t="shared" si="12"/>
        <v>2013-05-02 16:00,31,15,0</v>
      </c>
      <c r="L115" t="str">
        <f t="shared" si="13"/>
        <v>2013-05-02 16:00,31,26.9,0</v>
      </c>
    </row>
    <row r="116" spans="3:12" x14ac:dyDescent="0.35">
      <c r="C116">
        <f t="shared" si="14"/>
        <v>113</v>
      </c>
      <c r="D116" s="1">
        <f t="shared" si="15"/>
        <v>41396.708333333059</v>
      </c>
      <c r="E116" s="3">
        <f t="shared" si="8"/>
        <v>30.340741737109319</v>
      </c>
      <c r="F116" s="3">
        <f t="shared" si="9"/>
        <v>11.362966948437268</v>
      </c>
      <c r="G116" s="4">
        <f t="shared" si="10"/>
        <v>26.602222521132795</v>
      </c>
      <c r="H116" s="2">
        <v>0</v>
      </c>
      <c r="J116" t="str">
        <f t="shared" si="11"/>
        <v>2013-05-02 17:00,0</v>
      </c>
      <c r="K116" t="str">
        <f t="shared" si="12"/>
        <v>2013-05-02 17:00,30,11,0</v>
      </c>
      <c r="L116" t="str">
        <f t="shared" si="13"/>
        <v>2013-05-02 17:00,30,26.6,0</v>
      </c>
    </row>
    <row r="117" spans="3:12" x14ac:dyDescent="0.35">
      <c r="C117">
        <f t="shared" si="14"/>
        <v>114</v>
      </c>
      <c r="D117" s="1">
        <f t="shared" si="15"/>
        <v>41396.749999999724</v>
      </c>
      <c r="E117" s="3">
        <f t="shared" si="8"/>
        <v>30</v>
      </c>
      <c r="F117" s="3">
        <f t="shared" si="9"/>
        <v>10</v>
      </c>
      <c r="G117" s="4">
        <f t="shared" si="10"/>
        <v>26.5</v>
      </c>
      <c r="H117" s="2">
        <v>0</v>
      </c>
      <c r="J117" t="str">
        <f t="shared" si="11"/>
        <v>2013-05-02 18:00,0</v>
      </c>
      <c r="K117" t="str">
        <f t="shared" si="12"/>
        <v>2013-05-02 18:00,30,10,0</v>
      </c>
      <c r="L117" t="str">
        <f t="shared" si="13"/>
        <v>2013-05-02 18:00,30,26.5,0</v>
      </c>
    </row>
    <row r="118" spans="3:12" x14ac:dyDescent="0.35">
      <c r="C118">
        <f t="shared" si="14"/>
        <v>115</v>
      </c>
      <c r="D118" s="1">
        <f t="shared" si="15"/>
        <v>41396.791666666388</v>
      </c>
      <c r="E118" s="3">
        <f t="shared" si="8"/>
        <v>30.340741737109315</v>
      </c>
      <c r="F118" s="3">
        <f t="shared" si="9"/>
        <v>11.362966948437261</v>
      </c>
      <c r="G118" s="4">
        <f t="shared" si="10"/>
        <v>26.602222521132795</v>
      </c>
      <c r="H118" s="2">
        <v>0</v>
      </c>
      <c r="J118" t="str">
        <f t="shared" si="11"/>
        <v>2013-05-02 19:00,0</v>
      </c>
      <c r="K118" t="str">
        <f t="shared" si="12"/>
        <v>2013-05-02 19:00,30,11,0</v>
      </c>
      <c r="L118" t="str">
        <f t="shared" si="13"/>
        <v>2013-05-02 19:00,30,26.6,0</v>
      </c>
    </row>
    <row r="119" spans="3:12" x14ac:dyDescent="0.35">
      <c r="C119">
        <f t="shared" si="14"/>
        <v>116</v>
      </c>
      <c r="D119" s="1">
        <f t="shared" si="15"/>
        <v>41396.833333333052</v>
      </c>
      <c r="E119" s="3">
        <f t="shared" si="8"/>
        <v>31.339745962155614</v>
      </c>
      <c r="F119" s="3">
        <f t="shared" si="9"/>
        <v>15.358983848622458</v>
      </c>
      <c r="G119" s="4">
        <f t="shared" si="10"/>
        <v>26.901923788646684</v>
      </c>
      <c r="H119" s="2">
        <v>0</v>
      </c>
      <c r="J119" t="str">
        <f t="shared" si="11"/>
        <v>2013-05-02 20:00,0</v>
      </c>
      <c r="K119" t="str">
        <f t="shared" si="12"/>
        <v>2013-05-02 20:00,31,15,0</v>
      </c>
      <c r="L119" t="str">
        <f t="shared" si="13"/>
        <v>2013-05-02 20:00,31,26.9,0</v>
      </c>
    </row>
    <row r="120" spans="3:12" x14ac:dyDescent="0.35">
      <c r="C120">
        <f t="shared" si="14"/>
        <v>117</v>
      </c>
      <c r="D120" s="1">
        <f t="shared" si="15"/>
        <v>41396.874999999716</v>
      </c>
      <c r="E120" s="3">
        <f t="shared" si="8"/>
        <v>32.928932188134524</v>
      </c>
      <c r="F120" s="3">
        <f t="shared" si="9"/>
        <v>21.715728752538091</v>
      </c>
      <c r="G120" s="4">
        <f t="shared" si="10"/>
        <v>27.378679656440358</v>
      </c>
      <c r="H120" s="2">
        <v>0</v>
      </c>
      <c r="J120" t="str">
        <f t="shared" si="11"/>
        <v>2013-05-02 21:00,0</v>
      </c>
      <c r="K120" t="str">
        <f t="shared" si="12"/>
        <v>2013-05-02 21:00,33,22,0</v>
      </c>
      <c r="L120" t="str">
        <f t="shared" si="13"/>
        <v>2013-05-02 21:00,33,27.38,0</v>
      </c>
    </row>
    <row r="121" spans="3:12" x14ac:dyDescent="0.35">
      <c r="C121">
        <f t="shared" si="14"/>
        <v>118</v>
      </c>
      <c r="D121" s="1">
        <f t="shared" si="15"/>
        <v>41396.91666666638</v>
      </c>
      <c r="E121" s="3">
        <f t="shared" si="8"/>
        <v>34.999999999999993</v>
      </c>
      <c r="F121" s="3">
        <f t="shared" si="9"/>
        <v>29.999999999999982</v>
      </c>
      <c r="G121" s="4">
        <f t="shared" si="10"/>
        <v>28</v>
      </c>
      <c r="H121" s="2">
        <v>0</v>
      </c>
      <c r="J121" t="str">
        <f t="shared" si="11"/>
        <v>2013-05-02 22:00,0</v>
      </c>
      <c r="K121" t="str">
        <f t="shared" si="12"/>
        <v>2013-05-02 22:00,35,30,0</v>
      </c>
      <c r="L121" t="str">
        <f t="shared" si="13"/>
        <v>2013-05-02 22:00,35,28.,0</v>
      </c>
    </row>
    <row r="122" spans="3:12" x14ac:dyDescent="0.35">
      <c r="C122">
        <f t="shared" si="14"/>
        <v>119</v>
      </c>
      <c r="D122" s="1">
        <f t="shared" si="15"/>
        <v>41396.958333333045</v>
      </c>
      <c r="E122" s="3">
        <f t="shared" si="8"/>
        <v>37.411809548974794</v>
      </c>
      <c r="F122" s="3">
        <f t="shared" si="9"/>
        <v>39.64723819589917</v>
      </c>
      <c r="G122" s="4">
        <f t="shared" si="10"/>
        <v>28.723542864692437</v>
      </c>
      <c r="H122" s="2">
        <v>0</v>
      </c>
      <c r="J122" t="str">
        <f t="shared" si="11"/>
        <v>2013-05-02 23:00,0</v>
      </c>
      <c r="K122" t="str">
        <f t="shared" si="12"/>
        <v>2013-05-02 23:00,37,40,0</v>
      </c>
      <c r="L122" t="str">
        <f t="shared" si="13"/>
        <v>2013-05-02 23:00,37,28.72,0</v>
      </c>
    </row>
    <row r="123" spans="3:12" x14ac:dyDescent="0.35">
      <c r="C123">
        <f t="shared" si="14"/>
        <v>120</v>
      </c>
      <c r="D123" s="1">
        <f t="shared" si="15"/>
        <v>41396.999999999709</v>
      </c>
      <c r="E123" s="3">
        <f t="shared" si="8"/>
        <v>40</v>
      </c>
      <c r="F123" s="3">
        <f t="shared" si="9"/>
        <v>50</v>
      </c>
      <c r="G123" s="4">
        <f t="shared" si="10"/>
        <v>29.5</v>
      </c>
      <c r="H123" s="2">
        <v>0</v>
      </c>
      <c r="J123" t="str">
        <f t="shared" si="11"/>
        <v>2013-05-03 00:00,0</v>
      </c>
      <c r="K123" t="str">
        <f t="shared" si="12"/>
        <v>2013-05-03 00:00,40,50,0</v>
      </c>
      <c r="L123" t="str">
        <f t="shared" si="13"/>
        <v>2013-05-03 00:00,40,29.5,0</v>
      </c>
    </row>
    <row r="124" spans="3:12" x14ac:dyDescent="0.35">
      <c r="C124">
        <f t="shared" si="14"/>
        <v>121</v>
      </c>
      <c r="D124" s="1">
        <f t="shared" si="15"/>
        <v>41397.041666666373</v>
      </c>
      <c r="E124" s="3">
        <f t="shared" si="8"/>
        <v>42.588190451025206</v>
      </c>
      <c r="F124" s="3">
        <f t="shared" si="9"/>
        <v>60.35276180410083</v>
      </c>
      <c r="G124" s="4">
        <f t="shared" si="10"/>
        <v>30.276457135307563</v>
      </c>
      <c r="H124" s="2">
        <v>0</v>
      </c>
      <c r="J124" t="str">
        <f t="shared" si="11"/>
        <v>2013-05-03 01:00,0</v>
      </c>
      <c r="K124" t="str">
        <f t="shared" si="12"/>
        <v>2013-05-03 01:00,43,60,0</v>
      </c>
      <c r="L124" t="str">
        <f t="shared" si="13"/>
        <v>2013-05-03 01:00,43,30.28,0</v>
      </c>
    </row>
    <row r="125" spans="3:12" x14ac:dyDescent="0.35">
      <c r="C125">
        <f t="shared" si="14"/>
        <v>122</v>
      </c>
      <c r="D125" s="1">
        <f t="shared" si="15"/>
        <v>41397.083333333037</v>
      </c>
      <c r="E125" s="3">
        <f t="shared" si="8"/>
        <v>45</v>
      </c>
      <c r="F125" s="3">
        <f t="shared" si="9"/>
        <v>70</v>
      </c>
      <c r="G125" s="4">
        <f t="shared" si="10"/>
        <v>31</v>
      </c>
      <c r="H125" s="2">
        <v>0</v>
      </c>
      <c r="J125" t="str">
        <f t="shared" si="11"/>
        <v>2013-05-03 02:00,0</v>
      </c>
      <c r="K125" t="str">
        <f t="shared" si="12"/>
        <v>2013-05-03 02:00,45,70,0</v>
      </c>
      <c r="L125" t="str">
        <f t="shared" si="13"/>
        <v>2013-05-03 02:00,45,31.,0</v>
      </c>
    </row>
    <row r="126" spans="3:12" x14ac:dyDescent="0.35">
      <c r="C126">
        <f t="shared" si="14"/>
        <v>123</v>
      </c>
      <c r="D126" s="1">
        <f t="shared" si="15"/>
        <v>41397.124999999702</v>
      </c>
      <c r="E126" s="3">
        <f t="shared" si="8"/>
        <v>47.071067811865476</v>
      </c>
      <c r="F126" s="3">
        <f t="shared" si="9"/>
        <v>78.284271247461902</v>
      </c>
      <c r="G126" s="4">
        <f t="shared" si="10"/>
        <v>31.621320343559642</v>
      </c>
      <c r="H126" s="2">
        <v>0</v>
      </c>
      <c r="J126" t="str">
        <f t="shared" si="11"/>
        <v>2013-05-03 03:00,0</v>
      </c>
      <c r="K126" t="str">
        <f t="shared" si="12"/>
        <v>2013-05-03 03:00,47,78,0</v>
      </c>
      <c r="L126" t="str">
        <f t="shared" si="13"/>
        <v>2013-05-03 03:00,47,31.62,0</v>
      </c>
    </row>
    <row r="127" spans="3:12" x14ac:dyDescent="0.35">
      <c r="C127">
        <f t="shared" si="14"/>
        <v>124</v>
      </c>
      <c r="D127" s="1">
        <f t="shared" si="15"/>
        <v>41397.166666666366</v>
      </c>
      <c r="E127" s="3">
        <f t="shared" si="8"/>
        <v>48.660254037844382</v>
      </c>
      <c r="F127" s="3">
        <f t="shared" si="9"/>
        <v>84.641016151377542</v>
      </c>
      <c r="G127" s="4">
        <f t="shared" si="10"/>
        <v>32.098076211353316</v>
      </c>
      <c r="H127" s="2">
        <v>0</v>
      </c>
      <c r="J127" t="str">
        <f t="shared" si="11"/>
        <v>2013-05-03 04:00,0</v>
      </c>
      <c r="K127" t="str">
        <f t="shared" si="12"/>
        <v>2013-05-03 04:00,49,85,0</v>
      </c>
      <c r="L127" t="str">
        <f t="shared" si="13"/>
        <v>2013-05-03 04:00,49,32.1,0</v>
      </c>
    </row>
    <row r="128" spans="3:12" x14ac:dyDescent="0.35">
      <c r="C128">
        <f t="shared" si="14"/>
        <v>125</v>
      </c>
      <c r="D128" s="1">
        <f t="shared" si="15"/>
        <v>41397.20833333303</v>
      </c>
      <c r="E128" s="3">
        <f t="shared" si="8"/>
        <v>49.659258262890681</v>
      </c>
      <c r="F128" s="3">
        <f t="shared" si="9"/>
        <v>88.637033051562724</v>
      </c>
      <c r="G128" s="4">
        <f t="shared" si="10"/>
        <v>32.397777478867205</v>
      </c>
      <c r="H128" s="2">
        <v>0</v>
      </c>
      <c r="J128" t="str">
        <f t="shared" si="11"/>
        <v>2013-05-03 05:00,0</v>
      </c>
      <c r="K128" t="str">
        <f t="shared" si="12"/>
        <v>2013-05-03 05:00,50,89,0</v>
      </c>
      <c r="L128" t="str">
        <f t="shared" si="13"/>
        <v>2013-05-03 05:00,50,32.4,0</v>
      </c>
    </row>
    <row r="129" spans="3:12" x14ac:dyDescent="0.35">
      <c r="C129">
        <f t="shared" si="14"/>
        <v>126</v>
      </c>
      <c r="D129" s="1">
        <f t="shared" si="15"/>
        <v>41397.249999999694</v>
      </c>
      <c r="E129" s="3">
        <f t="shared" si="8"/>
        <v>50</v>
      </c>
      <c r="F129" s="3">
        <f t="shared" si="9"/>
        <v>90</v>
      </c>
      <c r="G129" s="4">
        <f t="shared" si="10"/>
        <v>32.5</v>
      </c>
      <c r="H129" s="2">
        <v>0</v>
      </c>
      <c r="J129" t="str">
        <f t="shared" si="11"/>
        <v>2013-05-03 06:00,0</v>
      </c>
      <c r="K129" t="str">
        <f t="shared" si="12"/>
        <v>2013-05-03 06:00,50,90,0</v>
      </c>
      <c r="L129" t="str">
        <f t="shared" si="13"/>
        <v>2013-05-03 06:00,50,32.5,0</v>
      </c>
    </row>
    <row r="130" spans="3:12" x14ac:dyDescent="0.35">
      <c r="C130">
        <f t="shared" si="14"/>
        <v>127</v>
      </c>
      <c r="D130" s="1">
        <f t="shared" si="15"/>
        <v>41397.291666666359</v>
      </c>
      <c r="E130" s="3">
        <f t="shared" si="8"/>
        <v>49.659258262890681</v>
      </c>
      <c r="F130" s="3">
        <f t="shared" si="9"/>
        <v>88.637033051562724</v>
      </c>
      <c r="G130" s="4">
        <f t="shared" si="10"/>
        <v>32.397777478867205</v>
      </c>
      <c r="H130" s="2">
        <v>0</v>
      </c>
      <c r="J130" t="str">
        <f t="shared" si="11"/>
        <v>2013-05-03 07:00,0</v>
      </c>
      <c r="K130" t="str">
        <f t="shared" si="12"/>
        <v>2013-05-03 07:00,50,89,0</v>
      </c>
      <c r="L130" t="str">
        <f t="shared" si="13"/>
        <v>2013-05-03 07:00,50,32.4,0</v>
      </c>
    </row>
    <row r="131" spans="3:12" x14ac:dyDescent="0.35">
      <c r="C131">
        <f t="shared" si="14"/>
        <v>128</v>
      </c>
      <c r="D131" s="1">
        <f t="shared" si="15"/>
        <v>41397.333333333023</v>
      </c>
      <c r="E131" s="3">
        <f t="shared" si="8"/>
        <v>48.660254037844389</v>
      </c>
      <c r="F131" s="3">
        <f t="shared" si="9"/>
        <v>84.641016151377556</v>
      </c>
      <c r="G131" s="4">
        <f t="shared" si="10"/>
        <v>32.098076211353316</v>
      </c>
      <c r="H131" s="2">
        <v>0</v>
      </c>
      <c r="J131" t="str">
        <f t="shared" si="11"/>
        <v>2013-05-03 08:00,0</v>
      </c>
      <c r="K131" t="str">
        <f t="shared" si="12"/>
        <v>2013-05-03 08:00,49,85,0</v>
      </c>
      <c r="L131" t="str">
        <f t="shared" si="13"/>
        <v>2013-05-03 08:00,49,32.1,0</v>
      </c>
    </row>
    <row r="132" spans="3:12" x14ac:dyDescent="0.35">
      <c r="C132">
        <f t="shared" si="14"/>
        <v>129</v>
      </c>
      <c r="D132" s="1">
        <f t="shared" si="15"/>
        <v>41397.374999999687</v>
      </c>
      <c r="E132" s="3">
        <f t="shared" si="8"/>
        <v>47.071067811865476</v>
      </c>
      <c r="F132" s="3">
        <f t="shared" si="9"/>
        <v>78.284271247461902</v>
      </c>
      <c r="G132" s="4">
        <f t="shared" si="10"/>
        <v>31.621320343559642</v>
      </c>
      <c r="H132" s="2">
        <v>0</v>
      </c>
      <c r="J132" t="str">
        <f t="shared" si="11"/>
        <v>2013-05-03 09:00,0</v>
      </c>
      <c r="K132" t="str">
        <f t="shared" si="12"/>
        <v>2013-05-03 09:00,47,78,0</v>
      </c>
      <c r="L132" t="str">
        <f t="shared" si="13"/>
        <v>2013-05-03 09:00,47,31.62,0</v>
      </c>
    </row>
    <row r="133" spans="3:12" x14ac:dyDescent="0.35">
      <c r="C133">
        <f t="shared" si="14"/>
        <v>130</v>
      </c>
      <c r="D133" s="1">
        <f t="shared" si="15"/>
        <v>41397.416666666351</v>
      </c>
      <c r="E133" s="3">
        <f t="shared" ref="E133:E171" si="16">40+10*SIN(RADIANS(360*HOUR(D133)/24))</f>
        <v>45</v>
      </c>
      <c r="F133" s="3">
        <f t="shared" ref="F133:F171" si="17">50+40*SIN(RADIANS(360*HOUR(D133)/24))</f>
        <v>70</v>
      </c>
      <c r="G133" s="4">
        <f t="shared" ref="G133:G171" si="18">29.5+3*SIN(RADIANS(360*HOUR(D133)/24))</f>
        <v>31</v>
      </c>
      <c r="H133" s="2">
        <v>0</v>
      </c>
      <c r="J133" t="str">
        <f t="shared" ref="J133:J171" si="19">TEXT(D133,"yyyy-mm-dd hh:mm")  &amp; "," &amp; H133</f>
        <v>2013-05-03 10:00,0</v>
      </c>
      <c r="K133" t="str">
        <f t="shared" ref="K133:K171" si="20">TEXT(D133,"yyyy-mm-dd hh:mm") &amp; "," &amp; TEXT(E133,"##") &amp;  "," &amp; TEXT(F133,"##") &amp; "," &amp; H133</f>
        <v>2013-05-03 10:00,45,70,0</v>
      </c>
      <c r="L133" t="str">
        <f t="shared" ref="L133:L171" si="21">TEXT(D133,"yyyy-mm-dd hh:mm") &amp; "," &amp; TEXT(E133,"##") &amp;  "," &amp; TEXT(G133,"##.##") &amp; "," &amp; H133</f>
        <v>2013-05-03 10:00,45,31.,0</v>
      </c>
    </row>
    <row r="134" spans="3:12" x14ac:dyDescent="0.35">
      <c r="C134">
        <f t="shared" ref="C134:C171" si="22">C133+1</f>
        <v>131</v>
      </c>
      <c r="D134" s="1">
        <f t="shared" ref="D134:D171" si="23">D133+TIME(1,0,0)</f>
        <v>41397.458333333016</v>
      </c>
      <c r="E134" s="3">
        <f t="shared" si="16"/>
        <v>42.588190451025213</v>
      </c>
      <c r="F134" s="3">
        <f t="shared" si="17"/>
        <v>60.352761804100837</v>
      </c>
      <c r="G134" s="4">
        <f t="shared" si="18"/>
        <v>30.276457135307563</v>
      </c>
      <c r="H134" s="2">
        <v>0</v>
      </c>
      <c r="J134" t="str">
        <f t="shared" si="19"/>
        <v>2013-05-03 11:00,0</v>
      </c>
      <c r="K134" t="str">
        <f t="shared" si="20"/>
        <v>2013-05-03 11:00,43,60,0</v>
      </c>
      <c r="L134" t="str">
        <f t="shared" si="21"/>
        <v>2013-05-03 11:00,43,30.28,0</v>
      </c>
    </row>
    <row r="135" spans="3:12" x14ac:dyDescent="0.35">
      <c r="C135">
        <f t="shared" si="22"/>
        <v>132</v>
      </c>
      <c r="D135" s="1">
        <f t="shared" si="23"/>
        <v>41397.49999999968</v>
      </c>
      <c r="E135" s="3">
        <f t="shared" si="16"/>
        <v>40</v>
      </c>
      <c r="F135" s="3">
        <f t="shared" si="17"/>
        <v>50.000000000000007</v>
      </c>
      <c r="G135" s="4">
        <f t="shared" si="18"/>
        <v>29.5</v>
      </c>
      <c r="H135" s="2">
        <v>0</v>
      </c>
      <c r="J135" t="str">
        <f t="shared" si="19"/>
        <v>2013-05-03 12:00,0</v>
      </c>
      <c r="K135" t="str">
        <f t="shared" si="20"/>
        <v>2013-05-03 12:00,40,50,0</v>
      </c>
      <c r="L135" t="str">
        <f t="shared" si="21"/>
        <v>2013-05-03 12:00,40,29.5,0</v>
      </c>
    </row>
    <row r="136" spans="3:12" x14ac:dyDescent="0.35">
      <c r="C136">
        <f t="shared" si="22"/>
        <v>133</v>
      </c>
      <c r="D136" s="1">
        <f t="shared" si="23"/>
        <v>41397.541666666344</v>
      </c>
      <c r="E136" s="3">
        <f t="shared" si="16"/>
        <v>37.411809548974794</v>
      </c>
      <c r="F136" s="3">
        <f t="shared" si="17"/>
        <v>39.64723819589917</v>
      </c>
      <c r="G136" s="4">
        <f t="shared" si="18"/>
        <v>28.723542864692437</v>
      </c>
      <c r="H136" s="2">
        <v>0</v>
      </c>
      <c r="J136" t="str">
        <f t="shared" si="19"/>
        <v>2013-05-03 13:00,0</v>
      </c>
      <c r="K136" t="str">
        <f t="shared" si="20"/>
        <v>2013-05-03 13:00,37,40,0</v>
      </c>
      <c r="L136" t="str">
        <f t="shared" si="21"/>
        <v>2013-05-03 13:00,37,28.72,0</v>
      </c>
    </row>
    <row r="137" spans="3:12" x14ac:dyDescent="0.35">
      <c r="C137">
        <f t="shared" si="22"/>
        <v>134</v>
      </c>
      <c r="D137" s="1">
        <f t="shared" si="23"/>
        <v>41397.583333333008</v>
      </c>
      <c r="E137" s="3">
        <f t="shared" si="16"/>
        <v>35</v>
      </c>
      <c r="F137" s="3">
        <f t="shared" si="17"/>
        <v>29.999999999999996</v>
      </c>
      <c r="G137" s="4">
        <f t="shared" si="18"/>
        <v>28</v>
      </c>
      <c r="H137" s="2">
        <v>0</v>
      </c>
      <c r="J137" t="str">
        <f t="shared" si="19"/>
        <v>2013-05-03 14:00,0</v>
      </c>
      <c r="K137" t="str">
        <f t="shared" si="20"/>
        <v>2013-05-03 14:00,35,30,0</v>
      </c>
      <c r="L137" t="str">
        <f t="shared" si="21"/>
        <v>2013-05-03 14:00,35,28.,0</v>
      </c>
    </row>
    <row r="138" spans="3:12" x14ac:dyDescent="0.35">
      <c r="C138">
        <f t="shared" si="22"/>
        <v>135</v>
      </c>
      <c r="D138" s="1">
        <f t="shared" si="23"/>
        <v>41397.624999999673</v>
      </c>
      <c r="E138" s="3">
        <f t="shared" si="16"/>
        <v>32.928932188134524</v>
      </c>
      <c r="F138" s="3">
        <f t="shared" si="17"/>
        <v>21.715728752538102</v>
      </c>
      <c r="G138" s="4">
        <f t="shared" si="18"/>
        <v>27.378679656440358</v>
      </c>
      <c r="H138" s="2">
        <v>0</v>
      </c>
      <c r="J138" t="str">
        <f t="shared" si="19"/>
        <v>2013-05-03 15:00,0</v>
      </c>
      <c r="K138" t="str">
        <f t="shared" si="20"/>
        <v>2013-05-03 15:00,33,22,0</v>
      </c>
      <c r="L138" t="str">
        <f t="shared" si="21"/>
        <v>2013-05-03 15:00,33,27.38,0</v>
      </c>
    </row>
    <row r="139" spans="3:12" x14ac:dyDescent="0.35">
      <c r="C139">
        <f t="shared" si="22"/>
        <v>136</v>
      </c>
      <c r="D139" s="1">
        <f t="shared" si="23"/>
        <v>41397.666666666337</v>
      </c>
      <c r="E139" s="3">
        <f t="shared" si="16"/>
        <v>31.339745962155618</v>
      </c>
      <c r="F139" s="3">
        <f t="shared" si="17"/>
        <v>15.358983848622465</v>
      </c>
      <c r="G139" s="4">
        <f t="shared" si="18"/>
        <v>26.901923788646684</v>
      </c>
      <c r="H139" s="2">
        <v>0</v>
      </c>
      <c r="J139" t="str">
        <f t="shared" si="19"/>
        <v>2013-05-03 16:00,0</v>
      </c>
      <c r="K139" t="str">
        <f t="shared" si="20"/>
        <v>2013-05-03 16:00,31,15,0</v>
      </c>
      <c r="L139" t="str">
        <f t="shared" si="21"/>
        <v>2013-05-03 16:00,31,26.9,0</v>
      </c>
    </row>
    <row r="140" spans="3:12" x14ac:dyDescent="0.35">
      <c r="C140">
        <f t="shared" si="22"/>
        <v>137</v>
      </c>
      <c r="D140" s="1">
        <f t="shared" si="23"/>
        <v>41397.708333333001</v>
      </c>
      <c r="E140" s="3">
        <f t="shared" si="16"/>
        <v>30.340741737109319</v>
      </c>
      <c r="F140" s="3">
        <f t="shared" si="17"/>
        <v>11.362966948437268</v>
      </c>
      <c r="G140" s="4">
        <f t="shared" si="18"/>
        <v>26.602222521132795</v>
      </c>
      <c r="H140" s="2">
        <v>0</v>
      </c>
      <c r="J140" t="str">
        <f t="shared" si="19"/>
        <v>2013-05-03 17:00,0</v>
      </c>
      <c r="K140" t="str">
        <f t="shared" si="20"/>
        <v>2013-05-03 17:00,30,11,0</v>
      </c>
      <c r="L140" t="str">
        <f t="shared" si="21"/>
        <v>2013-05-03 17:00,30,26.6,0</v>
      </c>
    </row>
    <row r="141" spans="3:12" x14ac:dyDescent="0.35">
      <c r="C141">
        <f t="shared" si="22"/>
        <v>138</v>
      </c>
      <c r="D141" s="1">
        <f t="shared" si="23"/>
        <v>41397.749999999665</v>
      </c>
      <c r="E141" s="3">
        <f t="shared" si="16"/>
        <v>30</v>
      </c>
      <c r="F141" s="3">
        <f t="shared" si="17"/>
        <v>10</v>
      </c>
      <c r="G141" s="4">
        <f t="shared" si="18"/>
        <v>26.5</v>
      </c>
      <c r="H141" s="2">
        <v>0</v>
      </c>
      <c r="J141" t="str">
        <f t="shared" si="19"/>
        <v>2013-05-03 18:00,0</v>
      </c>
      <c r="K141" t="str">
        <f t="shared" si="20"/>
        <v>2013-05-03 18:00,30,10,0</v>
      </c>
      <c r="L141" t="str">
        <f t="shared" si="21"/>
        <v>2013-05-03 18:00,30,26.5,0</v>
      </c>
    </row>
    <row r="142" spans="3:12" x14ac:dyDescent="0.35">
      <c r="C142">
        <f t="shared" si="22"/>
        <v>139</v>
      </c>
      <c r="D142" s="1">
        <f t="shared" si="23"/>
        <v>41397.79166666633</v>
      </c>
      <c r="E142" s="3">
        <f t="shared" si="16"/>
        <v>30.340741737109315</v>
      </c>
      <c r="F142" s="3">
        <f t="shared" si="17"/>
        <v>11.362966948437261</v>
      </c>
      <c r="G142" s="4">
        <f t="shared" si="18"/>
        <v>26.602222521132795</v>
      </c>
      <c r="H142" s="2">
        <v>0</v>
      </c>
      <c r="J142" t="str">
        <f t="shared" si="19"/>
        <v>2013-05-03 19:00,0</v>
      </c>
      <c r="K142" t="str">
        <f t="shared" si="20"/>
        <v>2013-05-03 19:00,30,11,0</v>
      </c>
      <c r="L142" t="str">
        <f t="shared" si="21"/>
        <v>2013-05-03 19:00,30,26.6,0</v>
      </c>
    </row>
    <row r="143" spans="3:12" x14ac:dyDescent="0.35">
      <c r="C143">
        <f t="shared" si="22"/>
        <v>140</v>
      </c>
      <c r="D143" s="1">
        <f t="shared" si="23"/>
        <v>41397.833333332994</v>
      </c>
      <c r="E143" s="3">
        <f t="shared" si="16"/>
        <v>31.339745962155614</v>
      </c>
      <c r="F143" s="3">
        <f t="shared" si="17"/>
        <v>15.358983848622458</v>
      </c>
      <c r="G143" s="4">
        <f t="shared" si="18"/>
        <v>26.901923788646684</v>
      </c>
      <c r="H143" s="2">
        <v>0</v>
      </c>
      <c r="J143" t="str">
        <f t="shared" si="19"/>
        <v>2013-05-03 20:00,0</v>
      </c>
      <c r="K143" t="str">
        <f t="shared" si="20"/>
        <v>2013-05-03 20:00,31,15,0</v>
      </c>
      <c r="L143" t="str">
        <f t="shared" si="21"/>
        <v>2013-05-03 20:00,31,26.9,0</v>
      </c>
    </row>
    <row r="144" spans="3:12" x14ac:dyDescent="0.35">
      <c r="C144">
        <f t="shared" si="22"/>
        <v>141</v>
      </c>
      <c r="D144" s="1">
        <f t="shared" si="23"/>
        <v>41397.874999999658</v>
      </c>
      <c r="E144" s="3">
        <f t="shared" si="16"/>
        <v>32.928932188134524</v>
      </c>
      <c r="F144" s="3">
        <f t="shared" si="17"/>
        <v>21.715728752538091</v>
      </c>
      <c r="G144" s="4">
        <f t="shared" si="18"/>
        <v>27.378679656440358</v>
      </c>
      <c r="H144" s="2">
        <v>0</v>
      </c>
      <c r="J144" t="str">
        <f t="shared" si="19"/>
        <v>2013-05-03 21:00,0</v>
      </c>
      <c r="K144" t="str">
        <f t="shared" si="20"/>
        <v>2013-05-03 21:00,33,22,0</v>
      </c>
      <c r="L144" t="str">
        <f t="shared" si="21"/>
        <v>2013-05-03 21:00,33,27.38,0</v>
      </c>
    </row>
    <row r="145" spans="3:12" x14ac:dyDescent="0.35">
      <c r="C145">
        <f t="shared" si="22"/>
        <v>142</v>
      </c>
      <c r="D145" s="1">
        <f t="shared" si="23"/>
        <v>41397.916666666322</v>
      </c>
      <c r="E145" s="3">
        <f t="shared" si="16"/>
        <v>34.999999999999993</v>
      </c>
      <c r="F145" s="3">
        <f t="shared" si="17"/>
        <v>29.999999999999982</v>
      </c>
      <c r="G145" s="4">
        <f t="shared" si="18"/>
        <v>28</v>
      </c>
      <c r="H145" s="2">
        <v>0</v>
      </c>
      <c r="J145" t="str">
        <f t="shared" si="19"/>
        <v>2013-05-03 22:00,0</v>
      </c>
      <c r="K145" t="str">
        <f t="shared" si="20"/>
        <v>2013-05-03 22:00,35,30,0</v>
      </c>
      <c r="L145" t="str">
        <f t="shared" si="21"/>
        <v>2013-05-03 22:00,35,28.,0</v>
      </c>
    </row>
    <row r="146" spans="3:12" x14ac:dyDescent="0.35">
      <c r="C146">
        <f t="shared" si="22"/>
        <v>143</v>
      </c>
      <c r="D146" s="1">
        <f t="shared" si="23"/>
        <v>41397.958333332987</v>
      </c>
      <c r="E146" s="3">
        <f t="shared" si="16"/>
        <v>37.411809548974794</v>
      </c>
      <c r="F146" s="3">
        <f t="shared" si="17"/>
        <v>39.64723819589917</v>
      </c>
      <c r="G146" s="4">
        <f t="shared" si="18"/>
        <v>28.723542864692437</v>
      </c>
      <c r="H146" s="2">
        <v>0</v>
      </c>
      <c r="J146" t="str">
        <f t="shared" si="19"/>
        <v>2013-05-03 23:00,0</v>
      </c>
      <c r="K146" t="str">
        <f t="shared" si="20"/>
        <v>2013-05-03 23:00,37,40,0</v>
      </c>
      <c r="L146" t="str">
        <f t="shared" si="21"/>
        <v>2013-05-03 23:00,37,28.72,0</v>
      </c>
    </row>
    <row r="147" spans="3:12" x14ac:dyDescent="0.35">
      <c r="C147">
        <f t="shared" si="22"/>
        <v>144</v>
      </c>
      <c r="D147" s="1">
        <f t="shared" si="23"/>
        <v>41397.999999999651</v>
      </c>
      <c r="E147" s="3">
        <f t="shared" si="16"/>
        <v>40</v>
      </c>
      <c r="F147" s="3">
        <f t="shared" si="17"/>
        <v>50</v>
      </c>
      <c r="G147" s="4">
        <f t="shared" si="18"/>
        <v>29.5</v>
      </c>
      <c r="H147" s="2">
        <v>0</v>
      </c>
      <c r="J147" t="str">
        <f t="shared" si="19"/>
        <v>2013-05-04 00:00,0</v>
      </c>
      <c r="K147" t="str">
        <f t="shared" si="20"/>
        <v>2013-05-04 00:00,40,50,0</v>
      </c>
      <c r="L147" t="str">
        <f t="shared" si="21"/>
        <v>2013-05-04 00:00,40,29.5,0</v>
      </c>
    </row>
    <row r="148" spans="3:12" x14ac:dyDescent="0.35">
      <c r="C148">
        <f t="shared" si="22"/>
        <v>145</v>
      </c>
      <c r="D148" s="1">
        <f t="shared" si="23"/>
        <v>41398.041666666315</v>
      </c>
      <c r="E148" s="3">
        <f t="shared" si="16"/>
        <v>42.588190451025206</v>
      </c>
      <c r="F148" s="3">
        <f t="shared" si="17"/>
        <v>60.35276180410083</v>
      </c>
      <c r="G148" s="4">
        <f t="shared" si="18"/>
        <v>30.276457135307563</v>
      </c>
      <c r="H148" s="2">
        <v>0</v>
      </c>
      <c r="J148" t="str">
        <f t="shared" si="19"/>
        <v>2013-05-04 01:00,0</v>
      </c>
      <c r="K148" t="str">
        <f t="shared" si="20"/>
        <v>2013-05-04 01:00,43,60,0</v>
      </c>
      <c r="L148" t="str">
        <f t="shared" si="21"/>
        <v>2013-05-04 01:00,43,30.28,0</v>
      </c>
    </row>
    <row r="149" spans="3:12" x14ac:dyDescent="0.35">
      <c r="C149">
        <f t="shared" si="22"/>
        <v>146</v>
      </c>
      <c r="D149" s="1">
        <f t="shared" si="23"/>
        <v>41398.083333332979</v>
      </c>
      <c r="E149" s="3">
        <f t="shared" si="16"/>
        <v>45</v>
      </c>
      <c r="F149" s="3">
        <f t="shared" si="17"/>
        <v>70</v>
      </c>
      <c r="G149" s="4">
        <f t="shared" si="18"/>
        <v>31</v>
      </c>
      <c r="H149" s="2">
        <v>0</v>
      </c>
      <c r="J149" t="str">
        <f t="shared" si="19"/>
        <v>2013-05-04 02:00,0</v>
      </c>
      <c r="K149" t="str">
        <f t="shared" si="20"/>
        <v>2013-05-04 02:00,45,70,0</v>
      </c>
      <c r="L149" t="str">
        <f t="shared" si="21"/>
        <v>2013-05-04 02:00,45,31.,0</v>
      </c>
    </row>
    <row r="150" spans="3:12" x14ac:dyDescent="0.35">
      <c r="C150">
        <f t="shared" si="22"/>
        <v>147</v>
      </c>
      <c r="D150" s="1">
        <f t="shared" si="23"/>
        <v>41398.124999999643</v>
      </c>
      <c r="E150" s="3">
        <f t="shared" si="16"/>
        <v>47.071067811865476</v>
      </c>
      <c r="F150" s="3">
        <f t="shared" si="17"/>
        <v>78.284271247461902</v>
      </c>
      <c r="G150" s="4">
        <f t="shared" si="18"/>
        <v>31.621320343559642</v>
      </c>
      <c r="H150" s="2">
        <v>0</v>
      </c>
      <c r="J150" t="str">
        <f t="shared" si="19"/>
        <v>2013-05-04 03:00,0</v>
      </c>
      <c r="K150" t="str">
        <f t="shared" si="20"/>
        <v>2013-05-04 03:00,47,78,0</v>
      </c>
      <c r="L150" t="str">
        <f t="shared" si="21"/>
        <v>2013-05-04 03:00,47,31.62,0</v>
      </c>
    </row>
    <row r="151" spans="3:12" x14ac:dyDescent="0.35">
      <c r="C151">
        <f t="shared" si="22"/>
        <v>148</v>
      </c>
      <c r="D151" s="1">
        <f t="shared" si="23"/>
        <v>41398.166666666308</v>
      </c>
      <c r="E151" s="3">
        <f t="shared" si="16"/>
        <v>48.660254037844382</v>
      </c>
      <c r="F151" s="3">
        <f t="shared" si="17"/>
        <v>84.641016151377542</v>
      </c>
      <c r="G151" s="4">
        <f t="shared" si="18"/>
        <v>32.098076211353316</v>
      </c>
      <c r="H151" s="2">
        <v>0</v>
      </c>
      <c r="J151" t="str">
        <f t="shared" si="19"/>
        <v>2013-05-04 04:00,0</v>
      </c>
      <c r="K151" t="str">
        <f t="shared" si="20"/>
        <v>2013-05-04 04:00,49,85,0</v>
      </c>
      <c r="L151" t="str">
        <f t="shared" si="21"/>
        <v>2013-05-04 04:00,49,32.1,0</v>
      </c>
    </row>
    <row r="152" spans="3:12" x14ac:dyDescent="0.35">
      <c r="C152">
        <f t="shared" si="22"/>
        <v>149</v>
      </c>
      <c r="D152" s="1">
        <f t="shared" si="23"/>
        <v>41398.208333332972</v>
      </c>
      <c r="E152" s="3">
        <f t="shared" si="16"/>
        <v>49.659258262890681</v>
      </c>
      <c r="F152" s="3">
        <f t="shared" si="17"/>
        <v>88.637033051562724</v>
      </c>
      <c r="G152" s="4">
        <f t="shared" si="18"/>
        <v>32.397777478867205</v>
      </c>
      <c r="H152" s="2">
        <v>0</v>
      </c>
      <c r="J152" t="str">
        <f t="shared" si="19"/>
        <v>2013-05-04 05:00,0</v>
      </c>
      <c r="K152" t="str">
        <f t="shared" si="20"/>
        <v>2013-05-04 05:00,50,89,0</v>
      </c>
      <c r="L152" t="str">
        <f t="shared" si="21"/>
        <v>2013-05-04 05:00,50,32.4,0</v>
      </c>
    </row>
    <row r="153" spans="3:12" x14ac:dyDescent="0.35">
      <c r="C153">
        <f t="shared" si="22"/>
        <v>150</v>
      </c>
      <c r="D153" s="1">
        <f t="shared" si="23"/>
        <v>41398.249999999636</v>
      </c>
      <c r="E153" s="3">
        <f t="shared" si="16"/>
        <v>50</v>
      </c>
      <c r="F153" s="3">
        <f t="shared" si="17"/>
        <v>90</v>
      </c>
      <c r="G153" s="4">
        <f t="shared" si="18"/>
        <v>32.5</v>
      </c>
      <c r="H153" s="2">
        <v>0</v>
      </c>
      <c r="J153" t="str">
        <f t="shared" si="19"/>
        <v>2013-05-04 06:00,0</v>
      </c>
      <c r="K153" t="str">
        <f t="shared" si="20"/>
        <v>2013-05-04 06:00,50,90,0</v>
      </c>
      <c r="L153" t="str">
        <f t="shared" si="21"/>
        <v>2013-05-04 06:00,50,32.5,0</v>
      </c>
    </row>
    <row r="154" spans="3:12" x14ac:dyDescent="0.35">
      <c r="C154">
        <f t="shared" si="22"/>
        <v>151</v>
      </c>
      <c r="D154" s="1">
        <f t="shared" si="23"/>
        <v>41398.2916666663</v>
      </c>
      <c r="E154" s="3">
        <f t="shared" si="16"/>
        <v>49.659258262890681</v>
      </c>
      <c r="F154" s="3">
        <f t="shared" si="17"/>
        <v>88.637033051562724</v>
      </c>
      <c r="G154" s="4">
        <f t="shared" si="18"/>
        <v>32.397777478867205</v>
      </c>
      <c r="H154" s="2">
        <v>0</v>
      </c>
      <c r="J154" t="str">
        <f t="shared" si="19"/>
        <v>2013-05-04 07:00,0</v>
      </c>
      <c r="K154" t="str">
        <f t="shared" si="20"/>
        <v>2013-05-04 07:00,50,89,0</v>
      </c>
      <c r="L154" t="str">
        <f t="shared" si="21"/>
        <v>2013-05-04 07:00,50,32.4,0</v>
      </c>
    </row>
    <row r="155" spans="3:12" x14ac:dyDescent="0.35">
      <c r="C155">
        <f t="shared" si="22"/>
        <v>152</v>
      </c>
      <c r="D155" s="1">
        <f t="shared" si="23"/>
        <v>41398.333333332965</v>
      </c>
      <c r="E155" s="3">
        <f t="shared" si="16"/>
        <v>48.660254037844389</v>
      </c>
      <c r="F155" s="3">
        <f t="shared" si="17"/>
        <v>84.641016151377556</v>
      </c>
      <c r="G155" s="4">
        <f t="shared" si="18"/>
        <v>32.098076211353316</v>
      </c>
      <c r="H155" s="2">
        <v>0</v>
      </c>
      <c r="J155" t="str">
        <f t="shared" si="19"/>
        <v>2013-05-04 08:00,0</v>
      </c>
      <c r="K155" t="str">
        <f t="shared" si="20"/>
        <v>2013-05-04 08:00,49,85,0</v>
      </c>
      <c r="L155" t="str">
        <f t="shared" si="21"/>
        <v>2013-05-04 08:00,49,32.1,0</v>
      </c>
    </row>
    <row r="156" spans="3:12" x14ac:dyDescent="0.35">
      <c r="C156">
        <f t="shared" si="22"/>
        <v>153</v>
      </c>
      <c r="D156" s="1">
        <f t="shared" si="23"/>
        <v>41398.374999999629</v>
      </c>
      <c r="E156" s="3">
        <f t="shared" si="16"/>
        <v>47.071067811865476</v>
      </c>
      <c r="F156" s="3">
        <f t="shared" si="17"/>
        <v>78.284271247461902</v>
      </c>
      <c r="G156" s="4">
        <f t="shared" si="18"/>
        <v>31.621320343559642</v>
      </c>
      <c r="H156" s="2">
        <v>0</v>
      </c>
      <c r="J156" t="str">
        <f t="shared" si="19"/>
        <v>2013-05-04 09:00,0</v>
      </c>
      <c r="K156" t="str">
        <f t="shared" si="20"/>
        <v>2013-05-04 09:00,47,78,0</v>
      </c>
      <c r="L156" t="str">
        <f t="shared" si="21"/>
        <v>2013-05-04 09:00,47,31.62,0</v>
      </c>
    </row>
    <row r="157" spans="3:12" x14ac:dyDescent="0.35">
      <c r="C157">
        <f t="shared" si="22"/>
        <v>154</v>
      </c>
      <c r="D157" s="1">
        <f t="shared" si="23"/>
        <v>41398.416666666293</v>
      </c>
      <c r="E157" s="3">
        <f t="shared" si="16"/>
        <v>45</v>
      </c>
      <c r="F157" s="3">
        <f t="shared" si="17"/>
        <v>70</v>
      </c>
      <c r="G157" s="4">
        <f t="shared" si="18"/>
        <v>31</v>
      </c>
      <c r="H157" s="2">
        <v>0</v>
      </c>
      <c r="J157" t="str">
        <f t="shared" si="19"/>
        <v>2013-05-04 10:00,0</v>
      </c>
      <c r="K157" t="str">
        <f t="shared" si="20"/>
        <v>2013-05-04 10:00,45,70,0</v>
      </c>
      <c r="L157" t="str">
        <f t="shared" si="21"/>
        <v>2013-05-04 10:00,45,31.,0</v>
      </c>
    </row>
    <row r="158" spans="3:12" x14ac:dyDescent="0.35">
      <c r="C158">
        <f t="shared" si="22"/>
        <v>155</v>
      </c>
      <c r="D158" s="1">
        <f t="shared" si="23"/>
        <v>41398.458333332957</v>
      </c>
      <c r="E158" s="3">
        <f t="shared" si="16"/>
        <v>42.588190451025213</v>
      </c>
      <c r="F158" s="3">
        <f t="shared" si="17"/>
        <v>60.352761804100837</v>
      </c>
      <c r="G158" s="4">
        <f t="shared" si="18"/>
        <v>30.276457135307563</v>
      </c>
      <c r="H158" s="2">
        <v>0</v>
      </c>
      <c r="J158" t="str">
        <f t="shared" si="19"/>
        <v>2013-05-04 11:00,0</v>
      </c>
      <c r="K158" t="str">
        <f t="shared" si="20"/>
        <v>2013-05-04 11:00,43,60,0</v>
      </c>
      <c r="L158" t="str">
        <f t="shared" si="21"/>
        <v>2013-05-04 11:00,43,30.28,0</v>
      </c>
    </row>
    <row r="159" spans="3:12" x14ac:dyDescent="0.35">
      <c r="C159">
        <f t="shared" si="22"/>
        <v>156</v>
      </c>
      <c r="D159" s="1">
        <f t="shared" si="23"/>
        <v>41398.499999999622</v>
      </c>
      <c r="E159" s="3">
        <f t="shared" si="16"/>
        <v>40</v>
      </c>
      <c r="F159" s="3">
        <f t="shared" si="17"/>
        <v>50.000000000000007</v>
      </c>
      <c r="G159" s="4">
        <f t="shared" si="18"/>
        <v>29.5</v>
      </c>
      <c r="H159" s="2">
        <v>0</v>
      </c>
      <c r="J159" t="str">
        <f t="shared" si="19"/>
        <v>2013-05-04 12:00,0</v>
      </c>
      <c r="K159" t="str">
        <f t="shared" si="20"/>
        <v>2013-05-04 12:00,40,50,0</v>
      </c>
      <c r="L159" t="str">
        <f t="shared" si="21"/>
        <v>2013-05-04 12:00,40,29.5,0</v>
      </c>
    </row>
    <row r="160" spans="3:12" x14ac:dyDescent="0.35">
      <c r="C160">
        <f t="shared" si="22"/>
        <v>157</v>
      </c>
      <c r="D160" s="1">
        <f t="shared" si="23"/>
        <v>41398.541666666286</v>
      </c>
      <c r="E160" s="3">
        <f t="shared" si="16"/>
        <v>37.411809548974794</v>
      </c>
      <c r="F160" s="3">
        <f t="shared" si="17"/>
        <v>39.64723819589917</v>
      </c>
      <c r="G160" s="4">
        <f t="shared" si="18"/>
        <v>28.723542864692437</v>
      </c>
      <c r="H160" s="2">
        <v>0</v>
      </c>
      <c r="J160" t="str">
        <f t="shared" si="19"/>
        <v>2013-05-04 13:00,0</v>
      </c>
      <c r="K160" t="str">
        <f t="shared" si="20"/>
        <v>2013-05-04 13:00,37,40,0</v>
      </c>
      <c r="L160" t="str">
        <f t="shared" si="21"/>
        <v>2013-05-04 13:00,37,28.72,0</v>
      </c>
    </row>
    <row r="161" spans="3:12" x14ac:dyDescent="0.35">
      <c r="C161">
        <f t="shared" si="22"/>
        <v>158</v>
      </c>
      <c r="D161" s="1">
        <f t="shared" si="23"/>
        <v>41398.58333333295</v>
      </c>
      <c r="E161" s="3">
        <f t="shared" si="16"/>
        <v>35</v>
      </c>
      <c r="F161" s="3">
        <f t="shared" si="17"/>
        <v>29.999999999999996</v>
      </c>
      <c r="G161" s="4">
        <f t="shared" si="18"/>
        <v>28</v>
      </c>
      <c r="H161" s="2">
        <v>0</v>
      </c>
      <c r="J161" t="str">
        <f t="shared" si="19"/>
        <v>2013-05-04 14:00,0</v>
      </c>
      <c r="K161" t="str">
        <f t="shared" si="20"/>
        <v>2013-05-04 14:00,35,30,0</v>
      </c>
      <c r="L161" t="str">
        <f t="shared" si="21"/>
        <v>2013-05-04 14:00,35,28.,0</v>
      </c>
    </row>
    <row r="162" spans="3:12" x14ac:dyDescent="0.35">
      <c r="C162">
        <f t="shared" si="22"/>
        <v>159</v>
      </c>
      <c r="D162" s="1">
        <f t="shared" si="23"/>
        <v>41398.624999999614</v>
      </c>
      <c r="E162" s="3">
        <f t="shared" si="16"/>
        <v>32.928932188134524</v>
      </c>
      <c r="F162" s="3">
        <f t="shared" si="17"/>
        <v>21.715728752538102</v>
      </c>
      <c r="G162" s="4">
        <f t="shared" si="18"/>
        <v>27.378679656440358</v>
      </c>
      <c r="H162" s="2">
        <v>0</v>
      </c>
      <c r="J162" t="str">
        <f t="shared" si="19"/>
        <v>2013-05-04 15:00,0</v>
      </c>
      <c r="K162" t="str">
        <f t="shared" si="20"/>
        <v>2013-05-04 15:00,33,22,0</v>
      </c>
      <c r="L162" t="str">
        <f t="shared" si="21"/>
        <v>2013-05-04 15:00,33,27.38,0</v>
      </c>
    </row>
    <row r="163" spans="3:12" x14ac:dyDescent="0.35">
      <c r="C163">
        <f t="shared" si="22"/>
        <v>160</v>
      </c>
      <c r="D163" s="1">
        <f t="shared" si="23"/>
        <v>41398.666666666279</v>
      </c>
      <c r="E163" s="3">
        <f t="shared" si="16"/>
        <v>31.339745962155618</v>
      </c>
      <c r="F163" s="3">
        <f t="shared" si="17"/>
        <v>15.358983848622465</v>
      </c>
      <c r="G163" s="4">
        <f t="shared" si="18"/>
        <v>26.901923788646684</v>
      </c>
      <c r="H163" s="2">
        <v>0</v>
      </c>
      <c r="J163" t="str">
        <f t="shared" si="19"/>
        <v>2013-05-04 16:00,0</v>
      </c>
      <c r="K163" t="str">
        <f t="shared" si="20"/>
        <v>2013-05-04 16:00,31,15,0</v>
      </c>
      <c r="L163" t="str">
        <f t="shared" si="21"/>
        <v>2013-05-04 16:00,31,26.9,0</v>
      </c>
    </row>
    <row r="164" spans="3:12" x14ac:dyDescent="0.35">
      <c r="C164">
        <f t="shared" si="22"/>
        <v>161</v>
      </c>
      <c r="D164" s="1">
        <f t="shared" si="23"/>
        <v>41398.708333332943</v>
      </c>
      <c r="E164" s="3">
        <f t="shared" si="16"/>
        <v>30.340741737109319</v>
      </c>
      <c r="F164" s="3">
        <f t="shared" si="17"/>
        <v>11.362966948437268</v>
      </c>
      <c r="G164" s="4">
        <f t="shared" si="18"/>
        <v>26.602222521132795</v>
      </c>
      <c r="H164" s="2">
        <v>0</v>
      </c>
      <c r="J164" t="str">
        <f t="shared" si="19"/>
        <v>2013-05-04 17:00,0</v>
      </c>
      <c r="K164" t="str">
        <f t="shared" si="20"/>
        <v>2013-05-04 17:00,30,11,0</v>
      </c>
      <c r="L164" t="str">
        <f t="shared" si="21"/>
        <v>2013-05-04 17:00,30,26.6,0</v>
      </c>
    </row>
    <row r="165" spans="3:12" x14ac:dyDescent="0.35">
      <c r="C165">
        <f t="shared" si="22"/>
        <v>162</v>
      </c>
      <c r="D165" s="1">
        <f t="shared" si="23"/>
        <v>41398.749999999607</v>
      </c>
      <c r="E165" s="3">
        <f t="shared" si="16"/>
        <v>30</v>
      </c>
      <c r="F165" s="3">
        <f t="shared" si="17"/>
        <v>10</v>
      </c>
      <c r="G165" s="4">
        <f t="shared" si="18"/>
        <v>26.5</v>
      </c>
      <c r="H165" s="2">
        <v>0</v>
      </c>
      <c r="J165" t="str">
        <f t="shared" si="19"/>
        <v>2013-05-04 18:00,0</v>
      </c>
      <c r="K165" t="str">
        <f t="shared" si="20"/>
        <v>2013-05-04 18:00,30,10,0</v>
      </c>
      <c r="L165" t="str">
        <f t="shared" si="21"/>
        <v>2013-05-04 18:00,30,26.5,0</v>
      </c>
    </row>
    <row r="166" spans="3:12" x14ac:dyDescent="0.35">
      <c r="C166">
        <f t="shared" si="22"/>
        <v>163</v>
      </c>
      <c r="D166" s="1">
        <f t="shared" si="23"/>
        <v>41398.791666666271</v>
      </c>
      <c r="E166" s="3">
        <f t="shared" si="16"/>
        <v>30.340741737109315</v>
      </c>
      <c r="F166" s="3">
        <f t="shared" si="17"/>
        <v>11.362966948437261</v>
      </c>
      <c r="G166" s="4">
        <f t="shared" si="18"/>
        <v>26.602222521132795</v>
      </c>
      <c r="H166" s="2">
        <v>0</v>
      </c>
      <c r="J166" t="str">
        <f t="shared" si="19"/>
        <v>2013-05-04 19:00,0</v>
      </c>
      <c r="K166" t="str">
        <f t="shared" si="20"/>
        <v>2013-05-04 19:00,30,11,0</v>
      </c>
      <c r="L166" t="str">
        <f t="shared" si="21"/>
        <v>2013-05-04 19:00,30,26.6,0</v>
      </c>
    </row>
    <row r="167" spans="3:12" x14ac:dyDescent="0.35">
      <c r="C167">
        <f t="shared" si="22"/>
        <v>164</v>
      </c>
      <c r="D167" s="1">
        <f t="shared" si="23"/>
        <v>41398.833333332936</v>
      </c>
      <c r="E167" s="3">
        <f t="shared" si="16"/>
        <v>31.339745962155614</v>
      </c>
      <c r="F167" s="3">
        <f t="shared" si="17"/>
        <v>15.358983848622458</v>
      </c>
      <c r="G167" s="4">
        <f t="shared" si="18"/>
        <v>26.901923788646684</v>
      </c>
      <c r="H167" s="2">
        <v>0</v>
      </c>
      <c r="J167" t="str">
        <f t="shared" si="19"/>
        <v>2013-05-04 20:00,0</v>
      </c>
      <c r="K167" t="str">
        <f t="shared" si="20"/>
        <v>2013-05-04 20:00,31,15,0</v>
      </c>
      <c r="L167" t="str">
        <f t="shared" si="21"/>
        <v>2013-05-04 20:00,31,26.9,0</v>
      </c>
    </row>
    <row r="168" spans="3:12" x14ac:dyDescent="0.35">
      <c r="C168">
        <f t="shared" si="22"/>
        <v>165</v>
      </c>
      <c r="D168" s="1">
        <f t="shared" si="23"/>
        <v>41398.8749999996</v>
      </c>
      <c r="E168" s="3">
        <f t="shared" si="16"/>
        <v>32.928932188134524</v>
      </c>
      <c r="F168" s="3">
        <f t="shared" si="17"/>
        <v>21.715728752538091</v>
      </c>
      <c r="G168" s="4">
        <f t="shared" si="18"/>
        <v>27.378679656440358</v>
      </c>
      <c r="H168" s="2">
        <v>0</v>
      </c>
      <c r="J168" t="str">
        <f t="shared" si="19"/>
        <v>2013-05-04 21:00,0</v>
      </c>
      <c r="K168" t="str">
        <f t="shared" si="20"/>
        <v>2013-05-04 21:00,33,22,0</v>
      </c>
      <c r="L168" t="str">
        <f t="shared" si="21"/>
        <v>2013-05-04 21:00,33,27.38,0</v>
      </c>
    </row>
    <row r="169" spans="3:12" x14ac:dyDescent="0.35">
      <c r="C169">
        <f t="shared" si="22"/>
        <v>166</v>
      </c>
      <c r="D169" s="1">
        <f t="shared" si="23"/>
        <v>41398.916666666264</v>
      </c>
      <c r="E169" s="3">
        <f t="shared" si="16"/>
        <v>34.999999999999993</v>
      </c>
      <c r="F169" s="3">
        <f t="shared" si="17"/>
        <v>29.999999999999982</v>
      </c>
      <c r="G169" s="4">
        <f t="shared" si="18"/>
        <v>28</v>
      </c>
      <c r="H169" s="2">
        <v>0</v>
      </c>
      <c r="J169" t="str">
        <f t="shared" si="19"/>
        <v>2013-05-04 22:00,0</v>
      </c>
      <c r="K169" t="str">
        <f t="shared" si="20"/>
        <v>2013-05-04 22:00,35,30,0</v>
      </c>
      <c r="L169" t="str">
        <f t="shared" si="21"/>
        <v>2013-05-04 22:00,35,28.,0</v>
      </c>
    </row>
    <row r="170" spans="3:12" x14ac:dyDescent="0.35">
      <c r="C170">
        <f t="shared" si="22"/>
        <v>167</v>
      </c>
      <c r="D170" s="1">
        <f t="shared" si="23"/>
        <v>41398.958333332928</v>
      </c>
      <c r="E170" s="3">
        <f t="shared" si="16"/>
        <v>37.411809548974794</v>
      </c>
      <c r="F170" s="3">
        <f t="shared" si="17"/>
        <v>39.64723819589917</v>
      </c>
      <c r="G170" s="4">
        <f t="shared" si="18"/>
        <v>28.723542864692437</v>
      </c>
      <c r="H170" s="2">
        <v>0</v>
      </c>
      <c r="J170" t="str">
        <f t="shared" si="19"/>
        <v>2013-05-04 23:00,0</v>
      </c>
      <c r="K170" t="str">
        <f t="shared" si="20"/>
        <v>2013-05-04 23:00,37,40,0</v>
      </c>
      <c r="L170" t="str">
        <f t="shared" si="21"/>
        <v>2013-05-04 23:00,37,28.72,0</v>
      </c>
    </row>
    <row r="171" spans="3:12" x14ac:dyDescent="0.35">
      <c r="C171">
        <f t="shared" si="22"/>
        <v>168</v>
      </c>
      <c r="D171" s="1">
        <f t="shared" si="23"/>
        <v>41398.999999999593</v>
      </c>
      <c r="E171" s="3">
        <f t="shared" si="16"/>
        <v>40</v>
      </c>
      <c r="F171" s="3">
        <f t="shared" si="17"/>
        <v>50</v>
      </c>
      <c r="G171" s="4">
        <f t="shared" si="18"/>
        <v>29.5</v>
      </c>
      <c r="H171" s="2">
        <v>0</v>
      </c>
      <c r="J171" t="str">
        <f t="shared" si="19"/>
        <v>2013-05-05 00:00,0</v>
      </c>
      <c r="K171" t="str">
        <f t="shared" si="20"/>
        <v>2013-05-05 00:00,40,50,0</v>
      </c>
      <c r="L171" t="str">
        <f t="shared" si="21"/>
        <v>2013-05-05 00:00,40,29.5,0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2026-01-29T20:37:13Z</dcterms:created>
  <dcterms:modified xsi:type="dcterms:W3CDTF">2026-04-30T13:28:59Z</dcterms:modified>
</cp:coreProperties>
</file>